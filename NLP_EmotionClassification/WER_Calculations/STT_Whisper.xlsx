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emilp\Documents\GitHub\2024-25c-fai2-adsai-group-group16\Task_3\"/>
    </mc:Choice>
  </mc:AlternateContent>
  <xr:revisionPtr revIDLastSave="0" documentId="13_ncr:1_{F9079C0C-19C9-4CC4-A2EA-9130F369A9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hispe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7" i="2" l="1"/>
  <c r="F205" i="2"/>
  <c r="E205" i="2"/>
  <c r="I205" i="2"/>
  <c r="H205" i="2"/>
  <c r="G205" i="2"/>
  <c r="F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4" i="2"/>
  <c r="F5" i="2"/>
  <c r="F6" i="2"/>
  <c r="F7" i="2"/>
  <c r="F8" i="2"/>
  <c r="F9" i="2"/>
  <c r="F10" i="2"/>
  <c r="F11" i="2"/>
  <c r="F12" i="2"/>
  <c r="F13" i="2"/>
  <c r="F14" i="2"/>
  <c r="F2" i="2"/>
  <c r="E206" i="2" l="1"/>
</calcChain>
</file>

<file path=xl/sharedStrings.xml><?xml version="1.0" encoding="utf-8"?>
<sst xmlns="http://schemas.openxmlformats.org/spreadsheetml/2006/main" count="217" uniqueCount="194">
  <si>
    <t>Sentence Number</t>
  </si>
  <si>
    <t>Start Time</t>
  </si>
  <si>
    <t>End Time</t>
  </si>
  <si>
    <t>S</t>
  </si>
  <si>
    <t>I</t>
  </si>
  <si>
    <t>D</t>
  </si>
  <si>
    <t>Sentence</t>
  </si>
  <si>
    <t>Token_Count</t>
  </si>
  <si>
    <t>Word_count</t>
  </si>
  <si>
    <t xml:space="preserve"> No, tía, no.</t>
  </si>
  <si>
    <t xml:space="preserve"> No.</t>
  </si>
  <si>
    <t xml:space="preserve"> ¿Por qué haces eso?</t>
  </si>
  <si>
    <t xml:space="preserve"> Nunca he pensado en ser infiel.</t>
  </si>
  <si>
    <t xml:space="preserve"> Hasta ahora.</t>
  </si>
  <si>
    <t xml:space="preserve"> Es que no lo entiendo.</t>
  </si>
  <si>
    <t xml:space="preserve"> Es que no lo reconozco.</t>
  </si>
  <si>
    <t xml:space="preserve"> Normal.</t>
  </si>
  <si>
    <t xml:space="preserve"> Es que no es mi novio, tía.</t>
  </si>
  <si>
    <t xml:space="preserve"> Yo creo que no es una trola, tía.</t>
  </si>
  <si>
    <t xml:space="preserve"> Que le gustas.</t>
  </si>
  <si>
    <t xml:space="preserve"> Se va a liar.</t>
  </si>
  <si>
    <t xml:space="preserve"> Te has dado cuenta que la quieres más de lo que piensas.</t>
  </si>
  <si>
    <t xml:space="preserve"> Y que no puedes perderla y empezar tu vida sin ella.</t>
  </si>
  <si>
    <t xml:space="preserve"> También es la pareja más bonita.</t>
  </si>
  <si>
    <t xml:space="preserve">tambien is supposed to be para mi </t>
  </si>
  <si>
    <t xml:space="preserve"> ¿La nuestra o no?</t>
  </si>
  <si>
    <t xml:space="preserve"> Dime qué pasa.</t>
  </si>
  <si>
    <t xml:space="preserve"> No he hecho nada.</t>
  </si>
  <si>
    <t xml:space="preserve"> Nico, Nico, no podéis hablar.</t>
  </si>
  <si>
    <t xml:space="preserve"> Creo que es el momento perfecto.</t>
  </si>
  <si>
    <t xml:space="preserve"> Ya te lo digo yo.</t>
  </si>
  <si>
    <t xml:space="preserve"> No fue un polvo.</t>
  </si>
  <si>
    <t xml:space="preserve"> Es una toma de contacto.</t>
  </si>
  <si>
    <t xml:space="preserve"> No quiero que me vean mirándome el polvo de mi vida.</t>
  </si>
  <si>
    <t xml:space="preserve"> No te cuento.</t>
  </si>
  <si>
    <t xml:space="preserve"> ¿Cuándo fue la última vez que os vistéis?</t>
  </si>
  <si>
    <t xml:space="preserve"> Octubre.</t>
  </si>
  <si>
    <t xml:space="preserve"> ¿Y qué pasó entre vosotros?</t>
  </si>
  <si>
    <t xml:space="preserve"> Me encontré con Álvaro en una discoteca.</t>
  </si>
  <si>
    <t xml:space="preserve"> Pasamos una noche juntos.</t>
  </si>
  <si>
    <t xml:space="preserve"> David sabe lo que hay.</t>
  </si>
  <si>
    <t xml:space="preserve"> Nosotros en ese momento no estábamos como pareja.</t>
  </si>
  <si>
    <t xml:space="preserve"> Nos lo contamos y punto.</t>
  </si>
  <si>
    <t xml:space="preserve"> Hazme lo que me duele.</t>
  </si>
  <si>
    <t>hazme is a mi</t>
  </si>
  <si>
    <t xml:space="preserve"> Es que mi novio lo va a ver, tío.</t>
  </si>
  <si>
    <t xml:space="preserve"> ¿Cómo me da algo?</t>
  </si>
  <si>
    <t xml:space="preserve"> Porque tú estás aquí de bueno.</t>
  </si>
  <si>
    <t>?</t>
  </si>
  <si>
    <t xml:space="preserve"> Pero vas a estar en conexión con una persona que te juro por Dios que yo tampoco.</t>
  </si>
  <si>
    <t xml:space="preserve">Pero vas a estar en conexión con una persona is supposed to be esperabas esta conexionarme con una persona aqi </t>
  </si>
  <si>
    <t xml:space="preserve"> Me gusta mucho.</t>
  </si>
  <si>
    <t xml:space="preserve"> Cada día más.</t>
  </si>
  <si>
    <t xml:space="preserve"> ¿Te estás dejando llevar?</t>
  </si>
  <si>
    <t xml:space="preserve"> Me estoy dejando llevar por lo que siento.</t>
  </si>
  <si>
    <t xml:space="preserve"> Y siento que no le tengo que poner buenos a mi obvia ni de coña.</t>
  </si>
  <si>
    <t xml:space="preserve"> Me gustan mucho, Moni.</t>
  </si>
  <si>
    <t xml:space="preserve"> Yo a veces me enfado porque no te tengo al 100%.</t>
  </si>
  <si>
    <t xml:space="preserve"> Chicos, bienvenidos a la hoguera.</t>
  </si>
  <si>
    <t xml:space="preserve"> Álvaro fue un punto de inflexión en mi relación.</t>
  </si>
  <si>
    <t xml:space="preserve"> No me preocupa absolutamente nada porque María se ríe de él.</t>
  </si>
  <si>
    <t xml:space="preserve"> Entonces, si ahora aquí le hace caso, pues sería surrealista.</t>
  </si>
  <si>
    <t xml:space="preserve"> Pero qué pollas, tío.</t>
  </si>
  <si>
    <t xml:space="preserve"> No me gusta que lleguen a la cama.</t>
  </si>
  <si>
    <t xml:space="preserve"> Porque debajo de las sábanas la noche es muy traicionera.</t>
  </si>
  <si>
    <t xml:space="preserve"> No creo que quieras hacer un borrón y ya está.</t>
  </si>
  <si>
    <t xml:space="preserve"> Sí.</t>
  </si>
  <si>
    <t xml:space="preserve"> Yo soy así.</t>
  </si>
  <si>
    <t xml:space="preserve"> Te saco de mi vida para siempre.</t>
  </si>
  <si>
    <t xml:space="preserve"> Se le está yendo a la pinza.</t>
  </si>
  <si>
    <t xml:space="preserve"> No sé qué coño ha visto porque no ha visto nada.</t>
  </si>
  <si>
    <t xml:space="preserve"> Y está hablando de una forma de mí que no voy a permitir y no tengo ganas de estar aquí.</t>
  </si>
  <si>
    <t xml:space="preserve"> ¿Es solo Napoli el que busca a Ana?</t>
  </si>
  <si>
    <t xml:space="preserve"> Sí, yo veo que es él.</t>
  </si>
  <si>
    <t xml:space="preserve"> ¿Seguro?</t>
  </si>
  <si>
    <t xml:space="preserve"> Me cago en mi puta madre.</t>
  </si>
  <si>
    <t xml:space="preserve"> Me cago en mi puta madre, tío.</t>
  </si>
  <si>
    <t xml:space="preserve"> Los dos habéis mantenido relaciones sexuales en la isla de las tentaciones.</t>
  </si>
  <si>
    <t xml:space="preserve"> Sí, correcto.</t>
  </si>
  <si>
    <t xml:space="preserve"> ¿Entonces por qué estás tan enfadado?</t>
  </si>
  <si>
    <t xml:space="preserve"> Porque yo lo he hecho, porque ella se ha liado con él desde el primer día.</t>
  </si>
  <si>
    <t xml:space="preserve"> Te vas a reír de mí y me río yo de ti.</t>
  </si>
  <si>
    <t xml:space="preserve"> Este es el collar del veto.</t>
  </si>
  <si>
    <t xml:space="preserve"> Hemos decidido vetar a Álvaro porque como ya han tenido algo antes, quizás eso es más peligroso.</t>
  </si>
  <si>
    <t xml:space="preserve"> Chicas, bienvenidas a la hoguera.</t>
  </si>
  <si>
    <t xml:space="preserve"> Qué asco, hijo.</t>
  </si>
  <si>
    <t xml:space="preserve"> Qué asco.</t>
  </si>
  <si>
    <t xml:space="preserve"> Madre mía.</t>
  </si>
  <si>
    <t xml:space="preserve"> ¡Me cago en mi rata!</t>
  </si>
  <si>
    <t xml:space="preserve"> ¿Que era mi novio?</t>
  </si>
  <si>
    <t xml:space="preserve"> ¿La habéis visto?</t>
  </si>
  <si>
    <t xml:space="preserve"> Que va, tío.</t>
  </si>
  <si>
    <t xml:space="preserve"> Que va.</t>
  </si>
  <si>
    <t xml:space="preserve"> Déjame que me...</t>
  </si>
  <si>
    <t xml:space="preserve"> ¡Me cago en el puto!</t>
  </si>
  <si>
    <t xml:space="preserve"> Pártelo, tío.</t>
  </si>
  <si>
    <t xml:space="preserve"> ¡No!</t>
  </si>
  <si>
    <t xml:space="preserve"> ¿Qué guarrerías esta, tío?</t>
  </si>
  <si>
    <t xml:space="preserve"> Que no puedo con esto, tío.</t>
  </si>
  <si>
    <t xml:space="preserve"> Que no puedo con esto.</t>
  </si>
  <si>
    <t xml:space="preserve"> ¿De qué?</t>
  </si>
  <si>
    <t xml:space="preserve"> ¿Los he visto dándose un beso ya?</t>
  </si>
  <si>
    <t xml:space="preserve"> Es que no puedo...</t>
  </si>
  <si>
    <t xml:space="preserve"> Marieta, por favor, me gustaría que volvieras a la hoguera.</t>
  </si>
  <si>
    <t xml:space="preserve"> Ay.</t>
  </si>
  <si>
    <t xml:space="preserve"> Se me duermen las putas manos, macho.</t>
  </si>
  <si>
    <t xml:space="preserve"> Relájate.</t>
  </si>
  <si>
    <t xml:space="preserve"> Que me...</t>
  </si>
  <si>
    <t xml:space="preserve"> Que me mané de verdad.</t>
  </si>
  <si>
    <t xml:space="preserve"> Relájate, amor.</t>
  </si>
  <si>
    <t xml:space="preserve"> Marieta, por favor, atiéndeme.</t>
  </si>
  <si>
    <t xml:space="preserve"> Tienes que ser paciente.</t>
  </si>
  <si>
    <t xml:space="preserve"> Todavía no has visto imágenes de Alex.</t>
  </si>
  <si>
    <t xml:space="preserve"> Es el turno de María.</t>
  </si>
  <si>
    <t xml:space="preserve"> Tendrás tiempo de verlas.</t>
  </si>
  <si>
    <t xml:space="preserve"> Trata de estar tranquila, por favor.</t>
  </si>
  <si>
    <t xml:space="preserve"> Lo siento, de verdad, María.</t>
  </si>
  <si>
    <t xml:space="preserve"> Lo siento.</t>
  </si>
  <si>
    <t xml:space="preserve"> Lo siento, tío.</t>
  </si>
  <si>
    <t xml:space="preserve"> Eso está.</t>
  </si>
  <si>
    <t xml:space="preserve"> Lo quiero mucho, ¿vale?</t>
  </si>
  <si>
    <t xml:space="preserve"> No, yo.</t>
  </si>
  <si>
    <t xml:space="preserve"> Me voy a pedir procierto por esto, que no.</t>
  </si>
  <si>
    <t xml:space="preserve"> Me voy a pedir procierto.</t>
  </si>
  <si>
    <t xml:space="preserve"> María, cuéntame, por favor,</t>
  </si>
  <si>
    <t xml:space="preserve"> qué es lo que te han parecido estas imágenes.</t>
  </si>
  <si>
    <t xml:space="preserve"> Es que me he quedado ya...</t>
  </si>
  <si>
    <t xml:space="preserve"> descolocada por lo que hemos visto por detrás.</t>
  </si>
  <si>
    <t xml:space="preserve"> Pero...</t>
  </si>
  <si>
    <t xml:space="preserve"> ¿Cómo ves a David?</t>
  </si>
  <si>
    <t xml:space="preserve"> Siendo David, se está pasando muy bien.</t>
  </si>
  <si>
    <t xml:space="preserve"> Le encanta la isla de la sentación y lo creo.</t>
  </si>
  <si>
    <t xml:space="preserve"> ¿Te preocupa la conexión entre David y Zaira?</t>
  </si>
  <si>
    <t xml:space="preserve"> Me preocupa Sandra</t>
  </si>
  <si>
    <t xml:space="preserve"> que cuando llega aquí</t>
  </si>
  <si>
    <t xml:space="preserve"> yo no pueda perdonarle</t>
  </si>
  <si>
    <t xml:space="preserve"> y no me pueda sacar las imágenes de la cabeza.</t>
  </si>
  <si>
    <t xml:space="preserve"> Por muy poco que según él,</t>
  </si>
  <si>
    <t xml:space="preserve"> porque eso sí, después él dirá,</t>
  </si>
  <si>
    <t xml:space="preserve"> no, si no he hecho nada, si no sé qué,</t>
  </si>
  <si>
    <t xml:space="preserve"> que le conozco ya.</t>
  </si>
  <si>
    <t xml:space="preserve"> Y me está jodiendo muchísimo</t>
  </si>
  <si>
    <t xml:space="preserve"> la actitud que tiene.</t>
  </si>
  <si>
    <t xml:space="preserve"> María.</t>
  </si>
  <si>
    <t xml:space="preserve"> Hay más imágenes para ti.</t>
  </si>
  <si>
    <t xml:space="preserve"> Con el niño que pierde el tiempo.</t>
  </si>
  <si>
    <t xml:space="preserve"> No, no, me pido perdón.</t>
  </si>
  <si>
    <t xml:space="preserve"> No, me pido perdón.</t>
  </si>
  <si>
    <t xml:space="preserve"> No, nunca, nunca.</t>
  </si>
  <si>
    <t xml:space="preserve"> Nunca, nunca.</t>
  </si>
  <si>
    <t xml:space="preserve"> ¡Eh!</t>
  </si>
  <si>
    <t xml:space="preserve"> Está llorando, llorando. ¡Qué mal se lo pasa!</t>
  </si>
  <si>
    <t xml:space="preserve"> Hola. ¿Hola?</t>
  </si>
  <si>
    <t xml:space="preserve"> ¿Qué pasó? ¿Qué? ¿Hola?</t>
  </si>
  <si>
    <t xml:space="preserve"> Hazme cosquillitas así.</t>
  </si>
  <si>
    <t xml:space="preserve"> Hazme cosquillitas, dice él.</t>
  </si>
  <si>
    <t xml:space="preserve"> Tú no te has enamorado en tu vida.</t>
  </si>
  <si>
    <t xml:space="preserve"> Ni tú.</t>
  </si>
  <si>
    <t xml:space="preserve"> Sí. Ni tú.</t>
  </si>
  <si>
    <t xml:space="preserve"> ¿Tú sí?</t>
  </si>
  <si>
    <t xml:space="preserve"> ¿No?</t>
  </si>
  <si>
    <t xml:space="preserve"> Mmm...</t>
  </si>
  <si>
    <t xml:space="preserve"> ¿Hola?</t>
  </si>
  <si>
    <t xml:space="preserve"> Hola.</t>
  </si>
  <si>
    <t xml:space="preserve"> Qué retrasados son, tío. Es que...</t>
  </si>
  <si>
    <t xml:space="preserve"> Tía, vaya personaje. Madre mía.</t>
  </si>
  <si>
    <t xml:space="preserve"> Que se la tire ya.</t>
  </si>
  <si>
    <t xml:space="preserve"> Si es que se la ha tirado ya casi. ¿Qué le falta?</t>
  </si>
  <si>
    <t xml:space="preserve"> ¿Qué le falta, Sandra?</t>
  </si>
  <si>
    <t xml:space="preserve"> Y después dice, este es...</t>
  </si>
  <si>
    <t xml:space="preserve"> ¿Has estado una vez enamorada en tu vida? Y le dice él, no.</t>
  </si>
  <si>
    <t xml:space="preserve"> Entonces, ¿qué haces aquí?</t>
  </si>
  <si>
    <t xml:space="preserve"> Mentiroso.</t>
  </si>
  <si>
    <t xml:space="preserve"> No quiero llorar por él más.</t>
  </si>
  <si>
    <t xml:space="preserve"> Mentiroso de mierda.</t>
  </si>
  <si>
    <t xml:space="preserve"> Si no está enamorado, ¿qué coño hace aquí?</t>
  </si>
  <si>
    <t xml:space="preserve"> Y a mí, ¿por qué me dice que sí?</t>
  </si>
  <si>
    <t xml:space="preserve"> ¿Para qué me miente?</t>
  </si>
  <si>
    <t xml:space="preserve"> Está dando mucho asco, mucha pena y mucho todo.</t>
  </si>
  <si>
    <t xml:space="preserve"> Todo junto.</t>
  </si>
  <si>
    <t xml:space="preserve"> Pero esa no es la persona a la que yo me enamore.</t>
  </si>
  <si>
    <t xml:space="preserve"> No, tía.</t>
  </si>
  <si>
    <t xml:space="preserve"> No, no.</t>
  </si>
  <si>
    <t xml:space="preserve"> ¿Qué haces?</t>
  </si>
  <si>
    <t xml:space="preserve"> El tonto es lo que hace, el tonto.</t>
  </si>
  <si>
    <t xml:space="preserve"> ¿Por qué me lo hace a mí?</t>
  </si>
  <si>
    <t xml:space="preserve"> Tiene la puta oportunidad de demostrarte y no asumir.</t>
  </si>
  <si>
    <t xml:space="preserve"> No va a cambiar en su puta vida, tío.</t>
  </si>
  <si>
    <t xml:space="preserve"> En su puta vida va a cambiar este tío.</t>
  </si>
  <si>
    <t xml:space="preserve"> Que no tenías saber estar con un chico como él.</t>
  </si>
  <si>
    <t xml:space="preserve"> ¿Y qué te haces?</t>
  </si>
  <si>
    <t>Total</t>
  </si>
  <si>
    <t xml:space="preserve">Total Errors </t>
  </si>
  <si>
    <t>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</si>
</sst>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scheme val="minor"/>
    </font>
    <font>
      <b/>
      <sz val="18"/>
      <color rgb="FF000000"/>
      <name val="Calibri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21" fontId="1" fillId="0" borderId="1" xfId="0" applyNumberFormat="1" applyFont="1" applyBorder="1"/>
    <xf numFmtId="0" fontId="3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FAA0-D3E3-415C-BF24-8D0F0895CECF}">
  <dimension ref="A1:J209"/>
  <sheetViews>
    <sheetView tabSelected="1" zoomScale="111" workbookViewId="0">
      <pane ySplit="1" topLeftCell="A2" activePane="bottomLeft" state="frozen"/>
      <selection pane="bottomLeft" activeCell="F208" sqref="F208"/>
    </sheetView>
  </sheetViews>
  <sheetFormatPr defaultRowHeight="14.4" x14ac:dyDescent="0.3"/>
  <cols>
    <col min="1" max="1" width="19.44140625" customWidth="1"/>
    <col min="2" max="2" width="16.33203125" customWidth="1"/>
    <col min="3" max="3" width="11.109375" customWidth="1"/>
    <col min="4" max="4" width="86.109375" customWidth="1"/>
    <col min="5" max="5" width="18" customWidth="1"/>
    <col min="6" max="6" width="12.33203125" customWidth="1"/>
    <col min="10" max="10" width="43.33203125" customWidth="1"/>
  </cols>
  <sheetData>
    <row r="1" spans="1:9" s="7" customFormat="1" x14ac:dyDescent="0.3">
      <c r="A1" s="4" t="s">
        <v>0</v>
      </c>
      <c r="B1" s="5" t="s">
        <v>1</v>
      </c>
      <c r="C1" s="5" t="s">
        <v>2</v>
      </c>
      <c r="D1" s="5" t="s">
        <v>6</v>
      </c>
      <c r="E1" s="5" t="s">
        <v>7</v>
      </c>
      <c r="F1" s="6" t="s">
        <v>8</v>
      </c>
      <c r="G1" s="6" t="s">
        <v>3</v>
      </c>
      <c r="H1" s="6" t="s">
        <v>4</v>
      </c>
      <c r="I1" s="6" t="s">
        <v>5</v>
      </c>
    </row>
    <row r="2" spans="1:9" x14ac:dyDescent="0.3">
      <c r="A2" s="1">
        <v>1</v>
      </c>
      <c r="B2" s="2">
        <v>0</v>
      </c>
      <c r="C2" s="2">
        <v>3.4722222222222222E-5</v>
      </c>
      <c r="D2" s="1" t="s">
        <v>9</v>
      </c>
      <c r="E2" s="1">
        <v>7</v>
      </c>
      <c r="F2">
        <f>IF(TRIM(D2)&lt;&gt;"", LEN(TRIM(D2))-LEN(SUBSTITUTE(TRIM(D2), " ", "")) + 1, 0)</f>
        <v>3</v>
      </c>
    </row>
    <row r="3" spans="1:9" x14ac:dyDescent="0.3">
      <c r="A3" s="1">
        <v>2</v>
      </c>
      <c r="B3" s="2">
        <v>3.4722222222222222E-5</v>
      </c>
      <c r="C3" s="2">
        <v>3.4722222222222222E-5</v>
      </c>
      <c r="D3" s="1" t="s">
        <v>10</v>
      </c>
      <c r="E3" s="1">
        <v>2</v>
      </c>
      <c r="F3">
        <f>IF(TRIM(D3)&lt;&gt;"", LEN(TRIM(D3))-LEN(SUBSTITUTE(TRIM(D3), " ", "")) + 1, 0)</f>
        <v>1</v>
      </c>
    </row>
    <row r="4" spans="1:9" x14ac:dyDescent="0.3">
      <c r="A4" s="1">
        <v>3</v>
      </c>
      <c r="B4" s="2">
        <v>4.6296296296296294E-5</v>
      </c>
      <c r="C4" s="2">
        <v>6.9444444444444444E-5</v>
      </c>
      <c r="D4" s="1" t="s">
        <v>11</v>
      </c>
      <c r="E4" s="1">
        <v>7</v>
      </c>
      <c r="F4">
        <f t="shared" ref="F4:F66" si="0">IF(TRIM(D4)&lt;&gt;"", LEN(TRIM(D4))-LEN(SUBSTITUTE(TRIM(D4), " ", "")) + 1, 0)</f>
        <v>4</v>
      </c>
    </row>
    <row r="5" spans="1:9" x14ac:dyDescent="0.3">
      <c r="A5" s="1">
        <v>4</v>
      </c>
      <c r="B5" s="2">
        <v>6.9444444444444444E-5</v>
      </c>
      <c r="C5" s="2">
        <v>1.0416666666666667E-4</v>
      </c>
      <c r="D5" s="1" t="s">
        <v>12</v>
      </c>
      <c r="E5" s="1">
        <v>10</v>
      </c>
      <c r="F5">
        <f t="shared" si="0"/>
        <v>6</v>
      </c>
      <c r="I5" s="3"/>
    </row>
    <row r="6" spans="1:9" x14ac:dyDescent="0.3">
      <c r="A6" s="1">
        <v>5</v>
      </c>
      <c r="B6" s="2">
        <v>1.1574074074074075E-4</v>
      </c>
      <c r="C6" s="2">
        <v>1.273148148148148E-4</v>
      </c>
      <c r="D6" s="1" t="s">
        <v>13</v>
      </c>
      <c r="E6" s="1">
        <v>4</v>
      </c>
      <c r="F6">
        <f t="shared" si="0"/>
        <v>2</v>
      </c>
    </row>
    <row r="7" spans="1:9" x14ac:dyDescent="0.3">
      <c r="A7" s="1">
        <v>6</v>
      </c>
      <c r="B7" s="2">
        <v>1.3888888888888889E-4</v>
      </c>
      <c r="C7" s="2">
        <v>1.5046296296296297E-4</v>
      </c>
      <c r="D7" s="1" t="s">
        <v>14</v>
      </c>
      <c r="E7" s="1">
        <v>7</v>
      </c>
      <c r="F7">
        <f t="shared" si="0"/>
        <v>5</v>
      </c>
    </row>
    <row r="8" spans="1:9" x14ac:dyDescent="0.3">
      <c r="A8" s="1">
        <v>7</v>
      </c>
      <c r="B8" s="2">
        <v>1.7361111111111112E-4</v>
      </c>
      <c r="C8" s="2">
        <v>1.9675925925925926E-4</v>
      </c>
      <c r="D8" s="1" t="s">
        <v>15</v>
      </c>
      <c r="E8" s="1">
        <v>8</v>
      </c>
      <c r="F8">
        <f t="shared" si="0"/>
        <v>5</v>
      </c>
    </row>
    <row r="9" spans="1:9" x14ac:dyDescent="0.3">
      <c r="A9" s="1">
        <v>8</v>
      </c>
      <c r="B9" s="2">
        <v>1.9675925925925926E-4</v>
      </c>
      <c r="C9" s="2">
        <v>1.9675925925925926E-4</v>
      </c>
      <c r="D9" s="1" t="s">
        <v>16</v>
      </c>
      <c r="E9" s="1">
        <v>2</v>
      </c>
      <c r="F9">
        <f t="shared" si="0"/>
        <v>1</v>
      </c>
    </row>
    <row r="10" spans="1:9" x14ac:dyDescent="0.3">
      <c r="A10" s="1">
        <v>9</v>
      </c>
      <c r="B10" s="2">
        <v>2.0833333333333335E-4</v>
      </c>
      <c r="C10" s="2">
        <v>2.3148148148148149E-4</v>
      </c>
      <c r="D10" s="1" t="s">
        <v>17</v>
      </c>
      <c r="E10" s="1">
        <v>11</v>
      </c>
      <c r="F10">
        <f t="shared" si="0"/>
        <v>7</v>
      </c>
    </row>
    <row r="11" spans="1:9" x14ac:dyDescent="0.3">
      <c r="A11" s="1">
        <v>10</v>
      </c>
      <c r="B11" s="2">
        <v>2.7777777777777778E-4</v>
      </c>
      <c r="C11" s="2">
        <v>2.8935185185185184E-4</v>
      </c>
      <c r="D11" s="1" t="s">
        <v>18</v>
      </c>
      <c r="E11" s="1">
        <v>13</v>
      </c>
      <c r="F11">
        <f t="shared" si="0"/>
        <v>8</v>
      </c>
    </row>
    <row r="12" spans="1:9" x14ac:dyDescent="0.3">
      <c r="A12" s="1">
        <v>11</v>
      </c>
      <c r="B12" s="2">
        <v>3.0092592592592595E-4</v>
      </c>
      <c r="C12" s="2">
        <v>3.0092592592592595E-4</v>
      </c>
      <c r="D12" s="1" t="s">
        <v>19</v>
      </c>
      <c r="E12" s="1">
        <v>5</v>
      </c>
      <c r="F12">
        <f t="shared" si="0"/>
        <v>3</v>
      </c>
    </row>
    <row r="13" spans="1:9" x14ac:dyDescent="0.3">
      <c r="A13" s="1">
        <v>12</v>
      </c>
      <c r="B13" s="2">
        <v>3.3564814814814812E-4</v>
      </c>
      <c r="C13" s="2">
        <v>3.3564814814814812E-4</v>
      </c>
      <c r="D13" s="1" t="s">
        <v>20</v>
      </c>
      <c r="E13" s="1">
        <v>5</v>
      </c>
      <c r="F13">
        <f t="shared" si="0"/>
        <v>4</v>
      </c>
      <c r="G13">
        <v>1</v>
      </c>
    </row>
    <row r="14" spans="1:9" x14ac:dyDescent="0.3">
      <c r="A14" s="1">
        <v>13</v>
      </c>
      <c r="B14" s="2">
        <v>3.4722222222222224E-4</v>
      </c>
      <c r="C14" s="2">
        <v>3.4722222222222224E-4</v>
      </c>
      <c r="D14" s="1" t="s">
        <v>10</v>
      </c>
      <c r="E14" s="1">
        <v>2</v>
      </c>
      <c r="F14">
        <f t="shared" si="0"/>
        <v>1</v>
      </c>
    </row>
    <row r="15" spans="1:9" x14ac:dyDescent="0.3">
      <c r="A15" s="1">
        <v>14</v>
      </c>
      <c r="B15" s="2">
        <v>5.0925925925925921E-4</v>
      </c>
      <c r="C15" s="2">
        <v>5.4398148148148144E-4</v>
      </c>
      <c r="D15" s="1" t="s">
        <v>21</v>
      </c>
      <c r="E15" s="1">
        <v>15</v>
      </c>
      <c r="F15">
        <f t="shared" si="0"/>
        <v>12</v>
      </c>
      <c r="I15">
        <v>1</v>
      </c>
    </row>
    <row r="16" spans="1:9" x14ac:dyDescent="0.3">
      <c r="A16" s="1">
        <v>15</v>
      </c>
      <c r="B16" s="2">
        <v>5.5555555555555556E-4</v>
      </c>
      <c r="C16" s="2">
        <v>5.9027777777777778E-4</v>
      </c>
      <c r="D16" s="1" t="s">
        <v>22</v>
      </c>
      <c r="E16" s="1">
        <v>14</v>
      </c>
      <c r="F16">
        <f t="shared" si="0"/>
        <v>11</v>
      </c>
    </row>
    <row r="17" spans="1:10" x14ac:dyDescent="0.3">
      <c r="A17" s="1">
        <v>16</v>
      </c>
      <c r="B17" s="2">
        <v>6.134259259259259E-4</v>
      </c>
      <c r="C17" s="2">
        <v>6.2500000000000001E-4</v>
      </c>
      <c r="D17" s="1" t="s">
        <v>23</v>
      </c>
      <c r="E17" s="1">
        <v>8</v>
      </c>
      <c r="F17">
        <f t="shared" si="0"/>
        <v>6</v>
      </c>
      <c r="G17">
        <v>2</v>
      </c>
      <c r="J17" t="s">
        <v>24</v>
      </c>
    </row>
    <row r="18" spans="1:10" x14ac:dyDescent="0.3">
      <c r="A18" s="1">
        <v>17</v>
      </c>
      <c r="B18" s="2">
        <v>6.3657407407407413E-4</v>
      </c>
      <c r="C18" s="2">
        <v>6.4814814814814813E-4</v>
      </c>
      <c r="D18" s="1" t="s">
        <v>25</v>
      </c>
      <c r="E18" s="1">
        <v>6</v>
      </c>
      <c r="F18">
        <f t="shared" si="0"/>
        <v>4</v>
      </c>
    </row>
    <row r="19" spans="1:10" x14ac:dyDescent="0.3">
      <c r="A19" s="1">
        <v>18</v>
      </c>
      <c r="B19" s="2">
        <v>6.4814814814814813E-4</v>
      </c>
      <c r="C19" s="2">
        <v>7.0601851851851847E-4</v>
      </c>
      <c r="D19" s="1" t="s">
        <v>26</v>
      </c>
      <c r="E19" s="1">
        <v>5</v>
      </c>
      <c r="F19">
        <f t="shared" si="0"/>
        <v>3</v>
      </c>
    </row>
    <row r="20" spans="1:10" x14ac:dyDescent="0.3">
      <c r="A20" s="1">
        <v>19</v>
      </c>
      <c r="B20" s="2">
        <v>7.0601851851851847E-4</v>
      </c>
      <c r="C20" s="2">
        <v>7.1759259259259259E-4</v>
      </c>
      <c r="D20" s="1" t="s">
        <v>27</v>
      </c>
      <c r="E20" s="1">
        <v>5</v>
      </c>
      <c r="F20">
        <f t="shared" si="0"/>
        <v>4</v>
      </c>
    </row>
    <row r="21" spans="1:10" x14ac:dyDescent="0.3">
      <c r="A21" s="1">
        <v>20</v>
      </c>
      <c r="B21" s="2">
        <v>7.1759259259259259E-4</v>
      </c>
      <c r="C21" s="2">
        <v>7.291666666666667E-4</v>
      </c>
      <c r="D21" s="1" t="s">
        <v>28</v>
      </c>
      <c r="E21" s="1">
        <v>9</v>
      </c>
      <c r="F21">
        <f t="shared" si="0"/>
        <v>5</v>
      </c>
    </row>
    <row r="22" spans="1:10" x14ac:dyDescent="0.3">
      <c r="A22" s="1">
        <v>21</v>
      </c>
      <c r="B22" s="2">
        <v>7.8703703703703705E-4</v>
      </c>
      <c r="C22" s="2">
        <v>7.9861111111111116E-4</v>
      </c>
      <c r="D22" s="1" t="s">
        <v>29</v>
      </c>
      <c r="E22" s="1">
        <v>9</v>
      </c>
      <c r="F22">
        <f t="shared" si="0"/>
        <v>6</v>
      </c>
    </row>
    <row r="23" spans="1:10" x14ac:dyDescent="0.3">
      <c r="A23" s="1">
        <v>22</v>
      </c>
      <c r="B23" s="2">
        <v>7.9861111111111116E-4</v>
      </c>
      <c r="C23" s="2">
        <v>8.1018518518518516E-4</v>
      </c>
      <c r="D23" s="1" t="s">
        <v>30</v>
      </c>
      <c r="E23" s="1">
        <v>7</v>
      </c>
      <c r="F23">
        <f t="shared" si="0"/>
        <v>5</v>
      </c>
    </row>
    <row r="24" spans="1:10" x14ac:dyDescent="0.3">
      <c r="A24" s="1">
        <v>23</v>
      </c>
      <c r="B24" s="2">
        <v>8.1018518518518516E-4</v>
      </c>
      <c r="C24" s="2">
        <v>8.2175925925925927E-4</v>
      </c>
      <c r="D24" s="1" t="s">
        <v>10</v>
      </c>
      <c r="E24" s="1">
        <v>2</v>
      </c>
      <c r="F24">
        <f t="shared" si="0"/>
        <v>1</v>
      </c>
    </row>
    <row r="25" spans="1:10" x14ac:dyDescent="0.3">
      <c r="A25" s="1">
        <v>24</v>
      </c>
      <c r="B25" s="2">
        <v>8.4490740740740739E-4</v>
      </c>
      <c r="C25" s="2">
        <v>8.564814814814815E-4</v>
      </c>
      <c r="D25" s="1" t="s">
        <v>10</v>
      </c>
      <c r="E25" s="1">
        <v>2</v>
      </c>
      <c r="F25">
        <f t="shared" si="0"/>
        <v>1</v>
      </c>
    </row>
    <row r="26" spans="1:10" x14ac:dyDescent="0.3">
      <c r="A26" s="1">
        <v>25</v>
      </c>
      <c r="B26" s="2">
        <v>9.1435185185185185E-4</v>
      </c>
      <c r="C26" s="2">
        <v>9.1435185185185185E-4</v>
      </c>
      <c r="D26" s="1" t="s">
        <v>10</v>
      </c>
      <c r="E26" s="1">
        <v>2</v>
      </c>
      <c r="F26">
        <f t="shared" si="0"/>
        <v>1</v>
      </c>
    </row>
    <row r="27" spans="1:10" x14ac:dyDescent="0.3">
      <c r="A27" s="1">
        <v>26</v>
      </c>
      <c r="B27" s="2">
        <v>9.1435185185185185E-4</v>
      </c>
      <c r="C27" s="2">
        <v>9.2592592592592596E-4</v>
      </c>
      <c r="D27" s="1" t="s">
        <v>10</v>
      </c>
      <c r="E27" s="1">
        <v>2</v>
      </c>
      <c r="F27">
        <f t="shared" si="0"/>
        <v>1</v>
      </c>
    </row>
    <row r="28" spans="1:10" x14ac:dyDescent="0.3">
      <c r="A28" s="1">
        <v>27</v>
      </c>
      <c r="B28" s="2">
        <v>9.2592592592592596E-4</v>
      </c>
      <c r="C28" s="2">
        <v>1.238425925925926E-3</v>
      </c>
      <c r="D28" s="1" t="s">
        <v>31</v>
      </c>
      <c r="E28" s="1">
        <v>6</v>
      </c>
      <c r="F28">
        <f t="shared" si="0"/>
        <v>4</v>
      </c>
    </row>
    <row r="29" spans="1:10" x14ac:dyDescent="0.3">
      <c r="A29" s="1">
        <v>28</v>
      </c>
      <c r="B29" s="2">
        <v>1.238425925925926E-3</v>
      </c>
      <c r="C29" s="2">
        <v>1.261574074074074E-3</v>
      </c>
      <c r="D29" s="1" t="s">
        <v>32</v>
      </c>
      <c r="E29" s="1">
        <v>7</v>
      </c>
      <c r="F29">
        <f t="shared" si="0"/>
        <v>5</v>
      </c>
      <c r="G29">
        <v>1</v>
      </c>
    </row>
    <row r="30" spans="1:10" x14ac:dyDescent="0.3">
      <c r="A30" s="1">
        <v>29</v>
      </c>
      <c r="B30" s="2">
        <v>1.261574074074074E-3</v>
      </c>
      <c r="C30" s="2">
        <v>1.2847222222222223E-3</v>
      </c>
      <c r="D30" s="1" t="s">
        <v>33</v>
      </c>
      <c r="E30" s="1">
        <v>16</v>
      </c>
      <c r="F30">
        <f t="shared" si="0"/>
        <v>11</v>
      </c>
      <c r="I30">
        <v>1</v>
      </c>
    </row>
    <row r="31" spans="1:10" x14ac:dyDescent="0.3">
      <c r="A31" s="1">
        <v>30</v>
      </c>
      <c r="B31" s="2">
        <v>1.3310185185185185E-3</v>
      </c>
      <c r="C31" s="2">
        <v>1.3310185185185185E-3</v>
      </c>
      <c r="D31" s="1" t="s">
        <v>34</v>
      </c>
      <c r="E31" s="1">
        <v>5</v>
      </c>
      <c r="F31">
        <f t="shared" si="0"/>
        <v>3</v>
      </c>
      <c r="G31">
        <v>1</v>
      </c>
    </row>
    <row r="32" spans="1:10" x14ac:dyDescent="0.3">
      <c r="A32" s="1">
        <v>31</v>
      </c>
      <c r="B32" s="2">
        <v>1.3425925925925925E-3</v>
      </c>
      <c r="C32" s="2">
        <v>1.3657407407407407E-3</v>
      </c>
      <c r="D32" s="1" t="s">
        <v>35</v>
      </c>
      <c r="E32" s="1">
        <v>14</v>
      </c>
      <c r="F32">
        <f t="shared" si="0"/>
        <v>8</v>
      </c>
    </row>
    <row r="33" spans="1:10" x14ac:dyDescent="0.3">
      <c r="A33" s="1">
        <v>32</v>
      </c>
      <c r="B33" s="2">
        <v>1.3657407407407407E-3</v>
      </c>
      <c r="C33" s="2">
        <v>1.3657407407407407E-3</v>
      </c>
      <c r="D33" s="1" t="s">
        <v>36</v>
      </c>
      <c r="E33" s="1">
        <v>3</v>
      </c>
      <c r="F33">
        <f t="shared" si="0"/>
        <v>1</v>
      </c>
    </row>
    <row r="34" spans="1:10" x14ac:dyDescent="0.3">
      <c r="A34" s="1">
        <v>33</v>
      </c>
      <c r="B34" s="2">
        <v>1.3657407407407407E-3</v>
      </c>
      <c r="C34" s="2">
        <v>1.3888888888888889E-3</v>
      </c>
      <c r="D34" s="1" t="s">
        <v>37</v>
      </c>
      <c r="E34" s="1">
        <v>9</v>
      </c>
      <c r="F34">
        <f t="shared" si="0"/>
        <v>5</v>
      </c>
    </row>
    <row r="35" spans="1:10" x14ac:dyDescent="0.3">
      <c r="A35" s="1">
        <v>34</v>
      </c>
      <c r="B35" s="2">
        <v>1.3888888888888889E-3</v>
      </c>
      <c r="C35" s="2">
        <v>1.4004629629629629E-3</v>
      </c>
      <c r="D35" s="1" t="s">
        <v>38</v>
      </c>
      <c r="E35" s="1">
        <v>13</v>
      </c>
      <c r="F35">
        <f t="shared" si="0"/>
        <v>7</v>
      </c>
    </row>
    <row r="36" spans="1:10" x14ac:dyDescent="0.3">
      <c r="A36" s="1">
        <v>35</v>
      </c>
      <c r="B36" s="2">
        <v>1.4120370370370369E-3</v>
      </c>
      <c r="C36" s="2">
        <v>1.4236111111111112E-3</v>
      </c>
      <c r="D36" s="1" t="s">
        <v>39</v>
      </c>
      <c r="E36" s="1">
        <v>7</v>
      </c>
      <c r="F36">
        <f t="shared" si="0"/>
        <v>4</v>
      </c>
    </row>
    <row r="37" spans="1:10" x14ac:dyDescent="0.3">
      <c r="A37" s="1">
        <v>36</v>
      </c>
      <c r="B37" s="2">
        <v>1.4236111111111112E-3</v>
      </c>
      <c r="C37" s="2">
        <v>1.4351851851851852E-3</v>
      </c>
      <c r="D37" s="1" t="s">
        <v>40</v>
      </c>
      <c r="E37" s="1">
        <v>6</v>
      </c>
      <c r="F37">
        <f t="shared" si="0"/>
        <v>5</v>
      </c>
    </row>
    <row r="38" spans="1:10" x14ac:dyDescent="0.3">
      <c r="A38" s="1">
        <v>37</v>
      </c>
      <c r="B38" s="2">
        <v>1.4351851851851852E-3</v>
      </c>
      <c r="C38" s="2">
        <v>1.4699074074074074E-3</v>
      </c>
      <c r="D38" s="1" t="s">
        <v>41</v>
      </c>
      <c r="E38" s="1">
        <v>12</v>
      </c>
      <c r="F38">
        <f t="shared" si="0"/>
        <v>8</v>
      </c>
    </row>
    <row r="39" spans="1:10" x14ac:dyDescent="0.3">
      <c r="A39" s="1">
        <v>38</v>
      </c>
      <c r="B39" s="2">
        <v>1.4699074074074074E-3</v>
      </c>
      <c r="C39" s="2">
        <v>1.4814814814814814E-3</v>
      </c>
      <c r="D39" s="1" t="s">
        <v>42</v>
      </c>
      <c r="E39" s="1">
        <v>7</v>
      </c>
      <c r="F39">
        <f t="shared" si="0"/>
        <v>5</v>
      </c>
    </row>
    <row r="40" spans="1:10" x14ac:dyDescent="0.3">
      <c r="A40" s="1">
        <v>39</v>
      </c>
      <c r="B40" s="2">
        <v>1.5162037037037036E-3</v>
      </c>
      <c r="C40" s="2">
        <v>1.5277777777777779E-3</v>
      </c>
      <c r="D40" s="1" t="s">
        <v>43</v>
      </c>
      <c r="E40" s="1">
        <v>8</v>
      </c>
      <c r="F40">
        <f t="shared" si="0"/>
        <v>5</v>
      </c>
      <c r="G40">
        <v>2</v>
      </c>
      <c r="J40" t="s">
        <v>44</v>
      </c>
    </row>
    <row r="41" spans="1:10" x14ac:dyDescent="0.3">
      <c r="A41" s="1">
        <v>40</v>
      </c>
      <c r="B41" s="2">
        <v>1.5277777777777779E-3</v>
      </c>
      <c r="C41" s="2">
        <v>1.5509259259259259E-3</v>
      </c>
      <c r="D41" s="1" t="s">
        <v>45</v>
      </c>
      <c r="E41" s="1">
        <v>13</v>
      </c>
      <c r="F41">
        <f t="shared" si="0"/>
        <v>9</v>
      </c>
    </row>
    <row r="42" spans="1:10" x14ac:dyDescent="0.3">
      <c r="A42" s="1">
        <v>41</v>
      </c>
      <c r="B42" s="2">
        <v>1.5509259259259259E-3</v>
      </c>
      <c r="C42" s="2">
        <v>1.5625000000000001E-3</v>
      </c>
      <c r="D42" s="1" t="s">
        <v>46</v>
      </c>
      <c r="E42" s="1">
        <v>6</v>
      </c>
      <c r="F42">
        <f t="shared" si="0"/>
        <v>4</v>
      </c>
    </row>
    <row r="43" spans="1:10" x14ac:dyDescent="0.3">
      <c r="A43" s="1">
        <v>42</v>
      </c>
      <c r="B43" s="2">
        <v>1.5625000000000001E-3</v>
      </c>
      <c r="C43" s="2">
        <v>1.5856481481481481E-3</v>
      </c>
      <c r="D43" s="1" t="s">
        <v>47</v>
      </c>
      <c r="E43" s="1">
        <v>9</v>
      </c>
      <c r="F43">
        <f t="shared" si="0"/>
        <v>6</v>
      </c>
      <c r="J43" t="s">
        <v>48</v>
      </c>
    </row>
    <row r="44" spans="1:10" x14ac:dyDescent="0.3">
      <c r="A44" s="1">
        <v>43</v>
      </c>
      <c r="B44" s="2">
        <v>1.5856481481481481E-3</v>
      </c>
      <c r="C44" s="2">
        <v>1.6319444444444445E-3</v>
      </c>
      <c r="D44" s="1" t="s">
        <v>49</v>
      </c>
      <c r="E44" s="1">
        <v>20</v>
      </c>
      <c r="F44">
        <f t="shared" si="0"/>
        <v>17</v>
      </c>
      <c r="G44">
        <v>1</v>
      </c>
      <c r="H44">
        <v>2</v>
      </c>
      <c r="I44">
        <v>2</v>
      </c>
      <c r="J44" s="10" t="s">
        <v>50</v>
      </c>
    </row>
    <row r="45" spans="1:10" x14ac:dyDescent="0.3">
      <c r="A45" s="1">
        <v>44</v>
      </c>
      <c r="B45" s="2">
        <v>1.6435185185185185E-3</v>
      </c>
      <c r="C45" s="2">
        <v>1.6435185185185185E-3</v>
      </c>
      <c r="D45" s="1" t="s">
        <v>51</v>
      </c>
      <c r="E45" s="1">
        <v>4</v>
      </c>
      <c r="F45">
        <f t="shared" si="0"/>
        <v>3</v>
      </c>
    </row>
    <row r="46" spans="1:10" x14ac:dyDescent="0.3">
      <c r="A46" s="1">
        <v>45</v>
      </c>
      <c r="B46" s="2">
        <v>1.6550925925925926E-3</v>
      </c>
      <c r="C46" s="2">
        <v>1.6666666666666668E-3</v>
      </c>
      <c r="D46" s="1" t="s">
        <v>52</v>
      </c>
      <c r="E46" s="1">
        <v>5</v>
      </c>
      <c r="F46">
        <f t="shared" si="0"/>
        <v>3</v>
      </c>
    </row>
    <row r="47" spans="1:10" x14ac:dyDescent="0.3">
      <c r="A47" s="1">
        <v>46</v>
      </c>
      <c r="B47" s="2">
        <v>1.6782407407407408E-3</v>
      </c>
      <c r="C47" s="2">
        <v>1.6898148148148148E-3</v>
      </c>
      <c r="D47" s="1" t="s">
        <v>53</v>
      </c>
      <c r="E47" s="1">
        <v>8</v>
      </c>
      <c r="F47">
        <f t="shared" si="0"/>
        <v>4</v>
      </c>
    </row>
    <row r="48" spans="1:10" x14ac:dyDescent="0.3">
      <c r="A48" s="1">
        <v>47</v>
      </c>
      <c r="B48" s="2">
        <v>1.6898148148148148E-3</v>
      </c>
      <c r="C48" s="2">
        <v>1.712962962962963E-3</v>
      </c>
      <c r="D48" s="1" t="s">
        <v>54</v>
      </c>
      <c r="E48" s="1">
        <v>11</v>
      </c>
      <c r="F48">
        <f t="shared" si="0"/>
        <v>8</v>
      </c>
      <c r="J48" t="s">
        <v>48</v>
      </c>
    </row>
    <row r="49" spans="1:9" x14ac:dyDescent="0.3">
      <c r="A49" s="1">
        <v>48</v>
      </c>
      <c r="B49" s="2">
        <v>1.712962962962963E-3</v>
      </c>
      <c r="C49" s="2">
        <v>1.736111111111111E-3</v>
      </c>
      <c r="D49" s="1" t="s">
        <v>55</v>
      </c>
      <c r="E49" s="1">
        <v>20</v>
      </c>
      <c r="F49">
        <f t="shared" si="0"/>
        <v>15</v>
      </c>
    </row>
    <row r="50" spans="1:9" x14ac:dyDescent="0.3">
      <c r="A50" s="1">
        <v>49</v>
      </c>
      <c r="B50" s="2">
        <v>1.7476851851851852E-3</v>
      </c>
      <c r="C50" s="2">
        <v>1.7592592592592592E-3</v>
      </c>
      <c r="D50" s="1" t="s">
        <v>56</v>
      </c>
      <c r="E50" s="1">
        <v>8</v>
      </c>
      <c r="F50">
        <f t="shared" si="0"/>
        <v>4</v>
      </c>
    </row>
    <row r="51" spans="1:9" x14ac:dyDescent="0.3">
      <c r="A51" s="1">
        <v>50</v>
      </c>
      <c r="B51" s="2">
        <v>1.7592592592592592E-3</v>
      </c>
      <c r="C51" s="2">
        <v>1.7939814814814815E-3</v>
      </c>
      <c r="D51" s="1" t="s">
        <v>12</v>
      </c>
      <c r="E51" s="1">
        <v>10</v>
      </c>
      <c r="F51">
        <f t="shared" si="0"/>
        <v>6</v>
      </c>
      <c r="G51">
        <v>0</v>
      </c>
      <c r="H51">
        <v>0</v>
      </c>
      <c r="I51">
        <v>0</v>
      </c>
    </row>
    <row r="52" spans="1:9" x14ac:dyDescent="0.3">
      <c r="A52" s="1">
        <v>51</v>
      </c>
      <c r="B52" s="2">
        <v>1.8171296296296297E-3</v>
      </c>
      <c r="C52" s="2">
        <v>1.8287037037037037E-3</v>
      </c>
      <c r="D52" s="1" t="s">
        <v>13</v>
      </c>
      <c r="E52" s="1">
        <v>4</v>
      </c>
      <c r="F52">
        <f t="shared" si="0"/>
        <v>2</v>
      </c>
      <c r="G52">
        <v>0</v>
      </c>
      <c r="H52">
        <v>0</v>
      </c>
      <c r="I52">
        <v>0</v>
      </c>
    </row>
    <row r="53" spans="1:9" x14ac:dyDescent="0.3">
      <c r="A53" s="1">
        <v>52</v>
      </c>
      <c r="B53" s="2">
        <v>1.8287037037037037E-3</v>
      </c>
      <c r="C53" s="2">
        <v>1.8749999999999999E-3</v>
      </c>
      <c r="D53" s="1" t="s">
        <v>57</v>
      </c>
      <c r="E53" s="1">
        <v>14</v>
      </c>
      <c r="F53">
        <f t="shared" si="0"/>
        <v>11</v>
      </c>
      <c r="G53">
        <v>0</v>
      </c>
      <c r="H53">
        <v>0</v>
      </c>
      <c r="I53">
        <v>0</v>
      </c>
    </row>
    <row r="54" spans="1:9" x14ac:dyDescent="0.3">
      <c r="A54" s="1">
        <v>53</v>
      </c>
      <c r="B54" s="2">
        <v>1.8749999999999999E-3</v>
      </c>
      <c r="C54" s="2">
        <v>1.9212962962962964E-3</v>
      </c>
      <c r="D54" s="1" t="s">
        <v>58</v>
      </c>
      <c r="E54" s="1">
        <v>12</v>
      </c>
      <c r="F54">
        <f t="shared" si="0"/>
        <v>5</v>
      </c>
      <c r="G54">
        <v>0</v>
      </c>
      <c r="H54">
        <v>0</v>
      </c>
      <c r="I54">
        <v>0</v>
      </c>
    </row>
    <row r="55" spans="1:9" x14ac:dyDescent="0.3">
      <c r="A55" s="1">
        <v>54</v>
      </c>
      <c r="B55" s="2">
        <v>1.9328703703703704E-3</v>
      </c>
      <c r="C55" s="2">
        <v>1.9560185185185184E-3</v>
      </c>
      <c r="D55" s="1" t="s">
        <v>59</v>
      </c>
      <c r="E55" s="1">
        <v>15</v>
      </c>
      <c r="F55">
        <f t="shared" si="0"/>
        <v>9</v>
      </c>
      <c r="G55">
        <v>0</v>
      </c>
      <c r="H55">
        <v>0</v>
      </c>
      <c r="I55">
        <v>0</v>
      </c>
    </row>
    <row r="56" spans="1:9" x14ac:dyDescent="0.3">
      <c r="A56" s="1">
        <v>55</v>
      </c>
      <c r="B56" s="2">
        <v>1.9675925925925924E-3</v>
      </c>
      <c r="C56" s="2">
        <v>1.9907407407407408E-3</v>
      </c>
      <c r="D56" s="1" t="s">
        <v>60</v>
      </c>
      <c r="E56" s="1">
        <v>17</v>
      </c>
      <c r="F56">
        <f t="shared" si="0"/>
        <v>11</v>
      </c>
      <c r="G56">
        <v>0</v>
      </c>
      <c r="H56">
        <v>0</v>
      </c>
      <c r="I56">
        <v>0</v>
      </c>
    </row>
    <row r="57" spans="1:9" x14ac:dyDescent="0.3">
      <c r="A57" s="1">
        <v>56</v>
      </c>
      <c r="B57" s="2">
        <v>1.9907407407407408E-3</v>
      </c>
      <c r="C57" s="2">
        <v>2.0138888888888888E-3</v>
      </c>
      <c r="D57" s="1" t="s">
        <v>61</v>
      </c>
      <c r="E57" s="1">
        <v>16</v>
      </c>
      <c r="F57">
        <f t="shared" si="0"/>
        <v>10</v>
      </c>
      <c r="G57">
        <v>0</v>
      </c>
      <c r="H57">
        <v>0</v>
      </c>
      <c r="I57">
        <v>0</v>
      </c>
    </row>
    <row r="58" spans="1:9" x14ac:dyDescent="0.3">
      <c r="A58" s="1">
        <v>57</v>
      </c>
      <c r="B58" s="2">
        <v>2.0138888888888888E-3</v>
      </c>
      <c r="C58" s="2">
        <v>2.0486111111111113E-3</v>
      </c>
      <c r="D58" s="1" t="s">
        <v>62</v>
      </c>
      <c r="E58" s="1">
        <v>8</v>
      </c>
      <c r="F58">
        <f t="shared" si="0"/>
        <v>4</v>
      </c>
      <c r="G58">
        <v>0</v>
      </c>
      <c r="H58">
        <v>0</v>
      </c>
      <c r="I58">
        <v>0</v>
      </c>
    </row>
    <row r="59" spans="1:9" x14ac:dyDescent="0.3">
      <c r="A59" s="1">
        <v>58</v>
      </c>
      <c r="B59" s="2">
        <v>2.0601851851851853E-3</v>
      </c>
      <c r="C59" s="2">
        <v>2.0717592592592593E-3</v>
      </c>
      <c r="D59" s="1" t="s">
        <v>63</v>
      </c>
      <c r="E59" s="1">
        <v>11</v>
      </c>
      <c r="F59">
        <f t="shared" si="0"/>
        <v>8</v>
      </c>
      <c r="G59">
        <v>0</v>
      </c>
      <c r="H59">
        <v>0</v>
      </c>
      <c r="I59">
        <v>0</v>
      </c>
    </row>
    <row r="60" spans="1:9" x14ac:dyDescent="0.3">
      <c r="A60" s="1">
        <v>59</v>
      </c>
      <c r="B60" s="2">
        <v>2.0717592592592593E-3</v>
      </c>
      <c r="C60" s="2">
        <v>2.1180555555555558E-3</v>
      </c>
      <c r="D60" s="1" t="s">
        <v>64</v>
      </c>
      <c r="E60" s="1">
        <v>18</v>
      </c>
      <c r="F60">
        <f t="shared" si="0"/>
        <v>10</v>
      </c>
      <c r="G60">
        <v>0</v>
      </c>
      <c r="H60">
        <v>0</v>
      </c>
      <c r="I60">
        <v>0</v>
      </c>
    </row>
    <row r="61" spans="1:9" x14ac:dyDescent="0.3">
      <c r="A61" s="1">
        <v>60</v>
      </c>
      <c r="B61" s="2">
        <v>2.1180555555555558E-3</v>
      </c>
      <c r="C61" s="2">
        <v>2.1412037037037038E-3</v>
      </c>
      <c r="D61" s="1" t="s">
        <v>65</v>
      </c>
      <c r="E61" s="1">
        <v>14</v>
      </c>
      <c r="F61">
        <f t="shared" si="0"/>
        <v>10</v>
      </c>
      <c r="G61">
        <v>0</v>
      </c>
      <c r="H61">
        <v>0</v>
      </c>
      <c r="I61">
        <v>0</v>
      </c>
    </row>
    <row r="62" spans="1:9" x14ac:dyDescent="0.3">
      <c r="A62" s="1">
        <v>61</v>
      </c>
      <c r="B62" s="2">
        <v>2.1412037037037038E-3</v>
      </c>
      <c r="C62" s="2">
        <v>2.1412037037037038E-3</v>
      </c>
      <c r="D62" s="1" t="s">
        <v>66</v>
      </c>
      <c r="E62" s="1">
        <v>3</v>
      </c>
      <c r="F62">
        <f t="shared" si="0"/>
        <v>1</v>
      </c>
      <c r="G62">
        <v>0</v>
      </c>
      <c r="H62">
        <v>0</v>
      </c>
      <c r="I62">
        <v>0</v>
      </c>
    </row>
    <row r="63" spans="1:9" x14ac:dyDescent="0.3">
      <c r="A63" s="1">
        <v>62</v>
      </c>
      <c r="B63" s="2">
        <v>2.1412037037037038E-3</v>
      </c>
      <c r="C63" s="2">
        <v>2.1527777777777778E-3</v>
      </c>
      <c r="D63" s="1" t="s">
        <v>66</v>
      </c>
      <c r="E63" s="1">
        <v>3</v>
      </c>
      <c r="F63">
        <f t="shared" si="0"/>
        <v>1</v>
      </c>
      <c r="G63">
        <v>0</v>
      </c>
      <c r="H63">
        <v>0</v>
      </c>
      <c r="I63">
        <v>0</v>
      </c>
    </row>
    <row r="64" spans="1:9" x14ac:dyDescent="0.3">
      <c r="A64" s="1">
        <v>63</v>
      </c>
      <c r="B64" s="2">
        <v>2.1527777777777778E-3</v>
      </c>
      <c r="C64" s="2">
        <v>2.1643518518518518E-3</v>
      </c>
      <c r="D64" s="1" t="s">
        <v>67</v>
      </c>
      <c r="E64" s="1">
        <v>4</v>
      </c>
      <c r="F64">
        <f t="shared" si="0"/>
        <v>3</v>
      </c>
      <c r="G64">
        <v>0</v>
      </c>
      <c r="H64">
        <v>0</v>
      </c>
      <c r="I64">
        <v>0</v>
      </c>
    </row>
    <row r="65" spans="1:9" x14ac:dyDescent="0.3">
      <c r="A65" s="1">
        <v>64</v>
      </c>
      <c r="B65" s="2">
        <v>2.1643518518518518E-3</v>
      </c>
      <c r="C65" s="2">
        <v>2.1759259259259258E-3</v>
      </c>
      <c r="D65" s="1" t="s">
        <v>68</v>
      </c>
      <c r="E65" s="1">
        <v>9</v>
      </c>
      <c r="F65">
        <f t="shared" si="0"/>
        <v>7</v>
      </c>
      <c r="G65">
        <v>0</v>
      </c>
      <c r="H65">
        <v>0</v>
      </c>
      <c r="I65">
        <v>0</v>
      </c>
    </row>
    <row r="66" spans="1:9" x14ac:dyDescent="0.3">
      <c r="A66" s="1">
        <v>65</v>
      </c>
      <c r="B66" s="2">
        <v>2.1875000000000002E-3</v>
      </c>
      <c r="C66" s="2">
        <v>2.1875000000000002E-3</v>
      </c>
      <c r="D66" s="1" t="s">
        <v>69</v>
      </c>
      <c r="E66" s="1">
        <v>10</v>
      </c>
      <c r="F66">
        <f t="shared" si="0"/>
        <v>7</v>
      </c>
      <c r="G66">
        <v>0</v>
      </c>
      <c r="H66">
        <v>0</v>
      </c>
      <c r="I66">
        <v>0</v>
      </c>
    </row>
    <row r="67" spans="1:9" x14ac:dyDescent="0.3">
      <c r="A67" s="1">
        <v>66</v>
      </c>
      <c r="B67" s="2">
        <v>2.1990740740740742E-3</v>
      </c>
      <c r="C67" s="2">
        <v>2.2106481481481482E-3</v>
      </c>
      <c r="D67" s="1" t="s">
        <v>70</v>
      </c>
      <c r="E67" s="1">
        <v>13</v>
      </c>
      <c r="F67">
        <f t="shared" ref="F67:F130" si="1">IF(TRIM(D67)&lt;&gt;"", LEN(TRIM(D67))-LEN(SUBSTITUTE(TRIM(D67), " ", "")) + 1, 0)</f>
        <v>11</v>
      </c>
      <c r="G67">
        <v>0</v>
      </c>
      <c r="H67">
        <v>0</v>
      </c>
      <c r="I67">
        <v>0</v>
      </c>
    </row>
    <row r="68" spans="1:9" x14ac:dyDescent="0.3">
      <c r="A68" s="1">
        <v>67</v>
      </c>
      <c r="B68" s="2">
        <v>2.2222222222222222E-3</v>
      </c>
      <c r="C68" s="2">
        <v>2.2453703703703702E-3</v>
      </c>
      <c r="D68" s="1" t="s">
        <v>71</v>
      </c>
      <c r="E68" s="1">
        <v>24</v>
      </c>
      <c r="F68">
        <f t="shared" si="1"/>
        <v>20</v>
      </c>
      <c r="G68">
        <v>0</v>
      </c>
      <c r="H68">
        <v>0</v>
      </c>
      <c r="I68">
        <v>0</v>
      </c>
    </row>
    <row r="69" spans="1:9" x14ac:dyDescent="0.3">
      <c r="A69" s="1">
        <v>68</v>
      </c>
      <c r="B69" s="2">
        <v>2.2685185185185187E-3</v>
      </c>
      <c r="C69" s="2">
        <v>2.3032407407407407E-3</v>
      </c>
      <c r="D69" s="1" t="s">
        <v>72</v>
      </c>
      <c r="E69" s="1">
        <v>10</v>
      </c>
      <c r="F69">
        <f t="shared" si="1"/>
        <v>8</v>
      </c>
      <c r="G69">
        <v>0</v>
      </c>
      <c r="H69">
        <v>0</v>
      </c>
      <c r="I69">
        <v>0</v>
      </c>
    </row>
    <row r="70" spans="1:9" x14ac:dyDescent="0.3">
      <c r="A70" s="1">
        <v>69</v>
      </c>
      <c r="B70" s="2">
        <v>2.3032407407407407E-3</v>
      </c>
      <c r="C70" s="2">
        <v>2.3148148148148147E-3</v>
      </c>
      <c r="D70" s="1" t="s">
        <v>73</v>
      </c>
      <c r="E70" s="1">
        <v>10</v>
      </c>
      <c r="F70">
        <f t="shared" si="1"/>
        <v>6</v>
      </c>
      <c r="G70">
        <v>0</v>
      </c>
      <c r="H70">
        <v>0</v>
      </c>
      <c r="I70">
        <v>0</v>
      </c>
    </row>
    <row r="71" spans="1:9" x14ac:dyDescent="0.3">
      <c r="A71" s="1">
        <v>70</v>
      </c>
      <c r="B71" s="2">
        <v>2.3263888888888887E-3</v>
      </c>
      <c r="C71" s="2">
        <v>2.3263888888888887E-3</v>
      </c>
      <c r="D71" s="1" t="s">
        <v>74</v>
      </c>
      <c r="E71" s="1">
        <v>4</v>
      </c>
      <c r="F71">
        <f t="shared" si="1"/>
        <v>1</v>
      </c>
      <c r="G71">
        <v>0</v>
      </c>
      <c r="H71">
        <v>0</v>
      </c>
      <c r="I71">
        <v>0</v>
      </c>
    </row>
    <row r="72" spans="1:9" x14ac:dyDescent="0.3">
      <c r="A72" s="1">
        <v>71</v>
      </c>
      <c r="B72" s="2">
        <v>2.3263888888888887E-3</v>
      </c>
      <c r="C72" s="2">
        <v>2.3726851851851851E-3</v>
      </c>
      <c r="D72" s="1" t="s">
        <v>75</v>
      </c>
      <c r="E72" s="1">
        <v>8</v>
      </c>
      <c r="F72">
        <f t="shared" si="1"/>
        <v>6</v>
      </c>
      <c r="G72">
        <v>0</v>
      </c>
      <c r="H72">
        <v>0</v>
      </c>
      <c r="I72">
        <v>0</v>
      </c>
    </row>
    <row r="73" spans="1:9" x14ac:dyDescent="0.3">
      <c r="A73" s="1">
        <v>72</v>
      </c>
      <c r="B73" s="2">
        <v>2.3726851851851851E-3</v>
      </c>
      <c r="C73" s="2">
        <v>2.3958333333333331E-3</v>
      </c>
      <c r="D73" s="1" t="s">
        <v>76</v>
      </c>
      <c r="E73" s="1">
        <v>11</v>
      </c>
      <c r="F73">
        <f t="shared" si="1"/>
        <v>7</v>
      </c>
      <c r="G73">
        <v>0</v>
      </c>
      <c r="H73">
        <v>0</v>
      </c>
      <c r="I73">
        <v>0</v>
      </c>
    </row>
    <row r="74" spans="1:9" x14ac:dyDescent="0.3">
      <c r="A74" s="1">
        <v>73</v>
      </c>
      <c r="B74" s="2">
        <v>2.4074074074074076E-3</v>
      </c>
      <c r="C74" s="2">
        <v>2.4537037037037036E-3</v>
      </c>
      <c r="D74" s="1" t="s">
        <v>77</v>
      </c>
      <c r="E74" s="1">
        <v>17</v>
      </c>
      <c r="F74">
        <f t="shared" si="1"/>
        <v>12</v>
      </c>
      <c r="G74">
        <v>0</v>
      </c>
      <c r="H74">
        <v>0</v>
      </c>
      <c r="I74">
        <v>0</v>
      </c>
    </row>
    <row r="75" spans="1:9" x14ac:dyDescent="0.3">
      <c r="A75" s="1">
        <v>74</v>
      </c>
      <c r="B75" s="2">
        <v>2.4537037037037036E-3</v>
      </c>
      <c r="C75" s="2">
        <v>2.4537037037037036E-3</v>
      </c>
      <c r="D75" s="1" t="s">
        <v>78</v>
      </c>
      <c r="E75" s="1">
        <v>6</v>
      </c>
      <c r="F75">
        <f t="shared" si="1"/>
        <v>2</v>
      </c>
      <c r="G75">
        <v>0</v>
      </c>
      <c r="H75">
        <v>0</v>
      </c>
      <c r="I75">
        <v>0</v>
      </c>
    </row>
    <row r="76" spans="1:9" x14ac:dyDescent="0.3">
      <c r="A76" s="1">
        <v>75</v>
      </c>
      <c r="B76" s="2">
        <v>2.4537037037037036E-3</v>
      </c>
      <c r="C76" s="2">
        <v>2.476851851851852E-3</v>
      </c>
      <c r="D76" s="1" t="s">
        <v>79</v>
      </c>
      <c r="E76" s="1">
        <v>12</v>
      </c>
      <c r="F76">
        <f t="shared" si="1"/>
        <v>6</v>
      </c>
      <c r="G76">
        <v>0</v>
      </c>
      <c r="H76">
        <v>0</v>
      </c>
      <c r="I76">
        <v>0</v>
      </c>
    </row>
    <row r="77" spans="1:9" x14ac:dyDescent="0.3">
      <c r="A77" s="1">
        <v>76</v>
      </c>
      <c r="B77" s="2">
        <v>2.476851851851852E-3</v>
      </c>
      <c r="C77" s="2">
        <v>2.5115740740740741E-3</v>
      </c>
      <c r="D77" s="1" t="s">
        <v>80</v>
      </c>
      <c r="E77" s="1">
        <v>20</v>
      </c>
      <c r="F77">
        <f t="shared" si="1"/>
        <v>16</v>
      </c>
      <c r="G77">
        <v>0</v>
      </c>
      <c r="H77">
        <v>0</v>
      </c>
      <c r="I77">
        <v>0</v>
      </c>
    </row>
    <row r="78" spans="1:9" x14ac:dyDescent="0.3">
      <c r="A78" s="1">
        <v>77</v>
      </c>
      <c r="B78" s="2">
        <v>2.5115740740740741E-3</v>
      </c>
      <c r="C78" s="2">
        <v>2.5347222222222221E-3</v>
      </c>
      <c r="D78" s="1" t="s">
        <v>81</v>
      </c>
      <c r="E78" s="1">
        <v>16</v>
      </c>
      <c r="F78">
        <f t="shared" si="1"/>
        <v>12</v>
      </c>
      <c r="G78">
        <v>0</v>
      </c>
      <c r="H78">
        <v>0</v>
      </c>
      <c r="I78">
        <v>0</v>
      </c>
    </row>
    <row r="79" spans="1:9" x14ac:dyDescent="0.3">
      <c r="A79" s="1">
        <v>78</v>
      </c>
      <c r="B79" s="2">
        <v>2.5347222222222221E-3</v>
      </c>
      <c r="C79" s="2">
        <v>2.5694444444444445E-3</v>
      </c>
      <c r="D79" s="1" t="s">
        <v>82</v>
      </c>
      <c r="E79" s="1">
        <v>7</v>
      </c>
      <c r="F79">
        <f t="shared" si="1"/>
        <v>6</v>
      </c>
      <c r="G79">
        <v>0</v>
      </c>
      <c r="H79">
        <v>0</v>
      </c>
      <c r="I79">
        <v>0</v>
      </c>
    </row>
    <row r="80" spans="1:9" x14ac:dyDescent="0.3">
      <c r="A80" s="1">
        <v>79</v>
      </c>
      <c r="B80" s="2">
        <v>2.5694444444444445E-3</v>
      </c>
      <c r="C80" s="2">
        <v>2.650462962962963E-3</v>
      </c>
      <c r="D80" s="1" t="s">
        <v>83</v>
      </c>
      <c r="E80" s="1">
        <v>30</v>
      </c>
      <c r="F80">
        <f t="shared" si="1"/>
        <v>17</v>
      </c>
      <c r="G80">
        <v>0</v>
      </c>
      <c r="H80">
        <v>0</v>
      </c>
      <c r="I80">
        <v>0</v>
      </c>
    </row>
    <row r="81" spans="1:9" x14ac:dyDescent="0.3">
      <c r="A81" s="1">
        <v>80</v>
      </c>
      <c r="B81" s="2">
        <v>2.673611111111111E-3</v>
      </c>
      <c r="C81" s="2">
        <v>2.6967592592592594E-3</v>
      </c>
      <c r="D81" s="1" t="s">
        <v>84</v>
      </c>
      <c r="E81" s="1">
        <v>12</v>
      </c>
      <c r="F81">
        <f t="shared" si="1"/>
        <v>5</v>
      </c>
      <c r="G81">
        <v>0</v>
      </c>
      <c r="H81">
        <v>0</v>
      </c>
      <c r="I81">
        <v>0</v>
      </c>
    </row>
    <row r="82" spans="1:9" x14ac:dyDescent="0.3">
      <c r="A82" s="1">
        <v>81</v>
      </c>
      <c r="B82" s="2">
        <v>2.7199074074074074E-3</v>
      </c>
      <c r="C82" s="2">
        <v>2.7314814814814814E-3</v>
      </c>
      <c r="D82" s="1" t="s">
        <v>85</v>
      </c>
      <c r="E82" s="1">
        <v>6</v>
      </c>
      <c r="F82">
        <f t="shared" si="1"/>
        <v>3</v>
      </c>
      <c r="G82">
        <v>0</v>
      </c>
      <c r="H82">
        <v>0</v>
      </c>
      <c r="I82">
        <v>0</v>
      </c>
    </row>
    <row r="83" spans="1:9" x14ac:dyDescent="0.3">
      <c r="A83" s="1">
        <v>82</v>
      </c>
      <c r="B83" s="2">
        <v>2.7430555555555554E-3</v>
      </c>
      <c r="C83" s="2">
        <v>2.7430555555555554E-3</v>
      </c>
      <c r="D83" s="1" t="s">
        <v>86</v>
      </c>
      <c r="E83" s="1">
        <v>4</v>
      </c>
      <c r="F83">
        <f t="shared" si="1"/>
        <v>2</v>
      </c>
      <c r="G83">
        <v>0</v>
      </c>
      <c r="H83">
        <v>0</v>
      </c>
      <c r="I83">
        <v>0</v>
      </c>
    </row>
    <row r="84" spans="1:9" x14ac:dyDescent="0.3">
      <c r="A84" s="1">
        <v>83</v>
      </c>
      <c r="B84" s="2">
        <v>2.7546296296296294E-3</v>
      </c>
      <c r="C84" s="2">
        <v>2.7546296296296294E-3</v>
      </c>
      <c r="D84" s="1" t="s">
        <v>87</v>
      </c>
      <c r="E84" s="1">
        <v>5</v>
      </c>
      <c r="F84">
        <f t="shared" si="1"/>
        <v>2</v>
      </c>
      <c r="G84">
        <v>0</v>
      </c>
      <c r="H84">
        <v>0</v>
      </c>
      <c r="I84">
        <v>0</v>
      </c>
    </row>
    <row r="85" spans="1:9" x14ac:dyDescent="0.3">
      <c r="A85" s="1">
        <v>84</v>
      </c>
      <c r="B85" s="2">
        <v>2.7777777777777779E-3</v>
      </c>
      <c r="C85" s="2">
        <v>2.7893518518518519E-3</v>
      </c>
      <c r="D85" s="1" t="s">
        <v>88</v>
      </c>
      <c r="E85" s="1">
        <v>9</v>
      </c>
      <c r="F85">
        <f t="shared" si="1"/>
        <v>5</v>
      </c>
      <c r="G85">
        <v>1</v>
      </c>
      <c r="H85">
        <v>0</v>
      </c>
      <c r="I85">
        <v>0</v>
      </c>
    </row>
    <row r="86" spans="1:9" x14ac:dyDescent="0.3">
      <c r="A86" s="1">
        <v>85</v>
      </c>
      <c r="B86" s="2">
        <v>2.8009259259259259E-3</v>
      </c>
      <c r="C86" s="2">
        <v>2.8009259259259259E-3</v>
      </c>
      <c r="D86" s="1" t="s">
        <v>89</v>
      </c>
      <c r="E86" s="1">
        <v>7</v>
      </c>
      <c r="F86">
        <f t="shared" si="1"/>
        <v>4</v>
      </c>
      <c r="G86">
        <v>0</v>
      </c>
      <c r="H86">
        <v>0</v>
      </c>
      <c r="I86">
        <v>0</v>
      </c>
    </row>
    <row r="87" spans="1:9" x14ac:dyDescent="0.3">
      <c r="A87" s="1">
        <v>86</v>
      </c>
      <c r="B87" s="2">
        <v>2.8124999999999999E-3</v>
      </c>
      <c r="C87" s="2">
        <v>2.8124999999999999E-3</v>
      </c>
      <c r="D87" s="1" t="s">
        <v>90</v>
      </c>
      <c r="E87" s="1">
        <v>6</v>
      </c>
      <c r="F87">
        <f t="shared" si="1"/>
        <v>3</v>
      </c>
      <c r="G87">
        <v>0</v>
      </c>
      <c r="H87">
        <v>1</v>
      </c>
      <c r="I87">
        <v>0</v>
      </c>
    </row>
    <row r="88" spans="1:9" x14ac:dyDescent="0.3">
      <c r="A88" s="1">
        <v>87</v>
      </c>
      <c r="B88" s="2">
        <v>2.8124999999999999E-3</v>
      </c>
      <c r="C88" s="2">
        <v>2.8240740740740739E-3</v>
      </c>
      <c r="D88" s="1" t="s">
        <v>66</v>
      </c>
      <c r="E88" s="1">
        <v>3</v>
      </c>
      <c r="F88">
        <f t="shared" si="1"/>
        <v>1</v>
      </c>
      <c r="G88">
        <v>0</v>
      </c>
      <c r="H88">
        <v>0</v>
      </c>
      <c r="I88">
        <v>0</v>
      </c>
    </row>
    <row r="89" spans="1:9" x14ac:dyDescent="0.3">
      <c r="A89" s="1">
        <v>88</v>
      </c>
      <c r="B89" s="2">
        <v>2.8356481481481483E-3</v>
      </c>
      <c r="C89" s="2">
        <v>2.8356481481481483E-3</v>
      </c>
      <c r="D89" s="1" t="s">
        <v>91</v>
      </c>
      <c r="E89" s="1">
        <v>6</v>
      </c>
      <c r="F89">
        <f t="shared" si="1"/>
        <v>3</v>
      </c>
      <c r="G89">
        <v>0</v>
      </c>
      <c r="H89">
        <v>0</v>
      </c>
      <c r="I89">
        <v>0</v>
      </c>
    </row>
    <row r="90" spans="1:9" x14ac:dyDescent="0.3">
      <c r="A90" s="1">
        <v>89</v>
      </c>
      <c r="B90" s="2">
        <v>2.8356481481481483E-3</v>
      </c>
      <c r="C90" s="2">
        <v>2.8472222222222223E-3</v>
      </c>
      <c r="D90" s="1" t="s">
        <v>92</v>
      </c>
      <c r="E90" s="1">
        <v>3</v>
      </c>
      <c r="F90">
        <f t="shared" si="1"/>
        <v>2</v>
      </c>
      <c r="G90">
        <v>0</v>
      </c>
      <c r="H90">
        <v>0</v>
      </c>
      <c r="I90">
        <v>0</v>
      </c>
    </row>
    <row r="91" spans="1:9" x14ac:dyDescent="0.3">
      <c r="A91" s="1">
        <v>90</v>
      </c>
      <c r="B91" s="2">
        <v>2.8472222222222223E-3</v>
      </c>
      <c r="C91" s="2">
        <v>2.8587962962962963E-3</v>
      </c>
      <c r="D91" s="1" t="s">
        <v>93</v>
      </c>
      <c r="E91" s="1">
        <v>6</v>
      </c>
      <c r="F91">
        <f t="shared" si="1"/>
        <v>3</v>
      </c>
      <c r="G91">
        <v>0</v>
      </c>
      <c r="H91">
        <v>0</v>
      </c>
      <c r="I91">
        <v>1</v>
      </c>
    </row>
    <row r="92" spans="1:9" x14ac:dyDescent="0.3">
      <c r="A92" s="1">
        <v>91</v>
      </c>
      <c r="B92" s="2">
        <v>2.8587962962962963E-3</v>
      </c>
      <c r="C92" s="2">
        <v>2.8703703703703703E-3</v>
      </c>
      <c r="D92" s="1" t="s">
        <v>94</v>
      </c>
      <c r="E92" s="1">
        <v>9</v>
      </c>
      <c r="F92">
        <f t="shared" si="1"/>
        <v>5</v>
      </c>
      <c r="G92">
        <v>0</v>
      </c>
      <c r="H92">
        <v>0</v>
      </c>
      <c r="I92">
        <v>0</v>
      </c>
    </row>
    <row r="93" spans="1:9" x14ac:dyDescent="0.3">
      <c r="A93" s="1">
        <v>92</v>
      </c>
      <c r="B93" s="2">
        <v>2.9166666666666668E-3</v>
      </c>
      <c r="C93" s="2">
        <v>2.9282407407407408E-3</v>
      </c>
      <c r="D93" s="1" t="s">
        <v>95</v>
      </c>
      <c r="E93" s="1">
        <v>8</v>
      </c>
      <c r="F93">
        <f t="shared" si="1"/>
        <v>2</v>
      </c>
      <c r="G93">
        <v>0</v>
      </c>
      <c r="H93">
        <v>0</v>
      </c>
      <c r="I93">
        <v>0</v>
      </c>
    </row>
    <row r="94" spans="1:9" x14ac:dyDescent="0.3">
      <c r="A94" s="1">
        <v>93</v>
      </c>
      <c r="B94" s="2">
        <v>2.9282407407407408E-3</v>
      </c>
      <c r="C94" s="2">
        <v>2.9976851851851853E-3</v>
      </c>
      <c r="D94" s="1" t="s">
        <v>96</v>
      </c>
      <c r="E94" s="1">
        <v>3</v>
      </c>
      <c r="F94">
        <f t="shared" si="1"/>
        <v>1</v>
      </c>
      <c r="G94">
        <v>0</v>
      </c>
      <c r="H94">
        <v>0</v>
      </c>
      <c r="I94">
        <v>0</v>
      </c>
    </row>
    <row r="95" spans="1:9" x14ac:dyDescent="0.3">
      <c r="A95" s="1">
        <v>94</v>
      </c>
      <c r="B95" s="2">
        <v>3.0671296296296297E-3</v>
      </c>
      <c r="C95" s="2">
        <v>3.0902777777777777E-3</v>
      </c>
      <c r="D95" s="1" t="s">
        <v>97</v>
      </c>
      <c r="E95" s="1">
        <v>11</v>
      </c>
      <c r="F95">
        <f t="shared" si="1"/>
        <v>4</v>
      </c>
      <c r="G95">
        <v>0</v>
      </c>
      <c r="H95">
        <v>0</v>
      </c>
      <c r="I95">
        <v>0</v>
      </c>
    </row>
    <row r="96" spans="1:9" x14ac:dyDescent="0.3">
      <c r="A96" s="1">
        <v>95</v>
      </c>
      <c r="B96" s="2">
        <v>3.1018518518518517E-3</v>
      </c>
      <c r="C96" s="2">
        <v>3.1597222222222222E-3</v>
      </c>
      <c r="D96" s="1" t="s">
        <v>98</v>
      </c>
      <c r="E96" s="1">
        <v>9</v>
      </c>
      <c r="F96">
        <f t="shared" si="1"/>
        <v>6</v>
      </c>
      <c r="G96">
        <v>0</v>
      </c>
      <c r="H96">
        <v>0</v>
      </c>
      <c r="I96">
        <v>0</v>
      </c>
    </row>
    <row r="97" spans="1:9" x14ac:dyDescent="0.3">
      <c r="A97" s="1">
        <v>96</v>
      </c>
      <c r="B97" s="2">
        <v>3.1597222222222222E-3</v>
      </c>
      <c r="C97" s="2">
        <v>3.1712962962962962E-3</v>
      </c>
      <c r="D97" s="1" t="s">
        <v>99</v>
      </c>
      <c r="E97" s="1">
        <v>6</v>
      </c>
      <c r="F97">
        <f t="shared" si="1"/>
        <v>5</v>
      </c>
      <c r="G97">
        <v>0</v>
      </c>
      <c r="H97">
        <v>0</v>
      </c>
      <c r="I97">
        <v>0</v>
      </c>
    </row>
    <row r="98" spans="1:9" x14ac:dyDescent="0.3">
      <c r="A98" s="1">
        <v>97</v>
      </c>
      <c r="B98" s="2">
        <v>3.1828703703703702E-3</v>
      </c>
      <c r="C98" s="2">
        <v>3.1828703703703702E-3</v>
      </c>
      <c r="D98" s="1" t="s">
        <v>100</v>
      </c>
      <c r="E98" s="1">
        <v>4</v>
      </c>
      <c r="F98">
        <f t="shared" si="1"/>
        <v>2</v>
      </c>
      <c r="G98">
        <v>0</v>
      </c>
      <c r="H98">
        <v>0</v>
      </c>
      <c r="I98">
        <v>0</v>
      </c>
    </row>
    <row r="99" spans="1:9" x14ac:dyDescent="0.3">
      <c r="A99" s="1">
        <v>98</v>
      </c>
      <c r="B99" s="2">
        <v>3.1828703703703702E-3</v>
      </c>
      <c r="C99" s="2">
        <v>3.2060185185185186E-3</v>
      </c>
      <c r="D99" s="1" t="s">
        <v>101</v>
      </c>
      <c r="E99" s="1">
        <v>12</v>
      </c>
      <c r="F99">
        <f t="shared" si="1"/>
        <v>7</v>
      </c>
      <c r="G99">
        <v>0</v>
      </c>
      <c r="H99">
        <v>0</v>
      </c>
      <c r="I99">
        <v>0</v>
      </c>
    </row>
    <row r="100" spans="1:9" x14ac:dyDescent="0.3">
      <c r="A100" s="1">
        <v>99</v>
      </c>
      <c r="B100" s="2">
        <v>3.2060185185185186E-3</v>
      </c>
      <c r="C100" s="2">
        <v>3.2175925925925926E-3</v>
      </c>
      <c r="D100" s="1" t="s">
        <v>102</v>
      </c>
      <c r="E100" s="1">
        <v>5</v>
      </c>
      <c r="F100">
        <f t="shared" si="1"/>
        <v>4</v>
      </c>
      <c r="G100">
        <v>0</v>
      </c>
      <c r="H100">
        <v>0</v>
      </c>
      <c r="I100">
        <v>1</v>
      </c>
    </row>
    <row r="101" spans="1:9" x14ac:dyDescent="0.3">
      <c r="A101" s="1">
        <v>100</v>
      </c>
      <c r="B101" s="2">
        <v>3.2175925925925926E-3</v>
      </c>
      <c r="C101" s="2">
        <v>3.2523148148148147E-3</v>
      </c>
      <c r="D101" s="1" t="s">
        <v>103</v>
      </c>
      <c r="E101" s="1">
        <v>19</v>
      </c>
      <c r="F101">
        <f t="shared" si="1"/>
        <v>10</v>
      </c>
    </row>
    <row r="102" spans="1:9" x14ac:dyDescent="0.3">
      <c r="A102" s="1">
        <v>101</v>
      </c>
      <c r="B102" s="2">
        <v>3.2638888888888891E-3</v>
      </c>
      <c r="C102" s="2">
        <v>3.2638888888888891E-3</v>
      </c>
      <c r="D102" s="1" t="s">
        <v>104</v>
      </c>
      <c r="E102" s="1">
        <v>2</v>
      </c>
      <c r="F102">
        <f t="shared" si="1"/>
        <v>1</v>
      </c>
    </row>
    <row r="103" spans="1:9" x14ac:dyDescent="0.3">
      <c r="A103" s="1">
        <v>102</v>
      </c>
      <c r="B103" s="2">
        <v>3.2638888888888891E-3</v>
      </c>
      <c r="C103" s="2">
        <v>3.4375E-3</v>
      </c>
      <c r="D103" s="1" t="s">
        <v>105</v>
      </c>
      <c r="E103" s="1">
        <v>11</v>
      </c>
      <c r="F103">
        <f t="shared" si="1"/>
        <v>7</v>
      </c>
    </row>
    <row r="104" spans="1:9" x14ac:dyDescent="0.3">
      <c r="A104" s="1">
        <v>103</v>
      </c>
      <c r="B104" s="2">
        <v>3.449074074074074E-3</v>
      </c>
      <c r="C104" s="2">
        <v>3.449074074074074E-3</v>
      </c>
      <c r="D104" s="1" t="s">
        <v>106</v>
      </c>
      <c r="E104" s="1">
        <v>5</v>
      </c>
      <c r="F104">
        <f t="shared" si="1"/>
        <v>1</v>
      </c>
    </row>
    <row r="105" spans="1:9" x14ac:dyDescent="0.3">
      <c r="A105" s="1">
        <v>104</v>
      </c>
      <c r="B105" s="2">
        <v>3.449074074074074E-3</v>
      </c>
      <c r="C105" s="2">
        <v>3.460648148148148E-3</v>
      </c>
      <c r="D105" s="1" t="s">
        <v>107</v>
      </c>
      <c r="E105" s="1">
        <v>3</v>
      </c>
      <c r="F105">
        <f t="shared" si="1"/>
        <v>2</v>
      </c>
    </row>
    <row r="106" spans="1:9" x14ac:dyDescent="0.3">
      <c r="A106" s="1">
        <v>105</v>
      </c>
      <c r="B106" s="2">
        <v>3.460648148148148E-3</v>
      </c>
      <c r="C106" s="2">
        <v>3.472222222222222E-3</v>
      </c>
      <c r="D106" s="1" t="s">
        <v>108</v>
      </c>
      <c r="E106" s="1">
        <v>7</v>
      </c>
      <c r="F106">
        <f t="shared" si="1"/>
        <v>5</v>
      </c>
      <c r="G106">
        <v>1</v>
      </c>
    </row>
    <row r="107" spans="1:9" x14ac:dyDescent="0.3">
      <c r="A107" s="1">
        <v>106</v>
      </c>
      <c r="B107" s="2">
        <v>3.472222222222222E-3</v>
      </c>
      <c r="C107" s="2">
        <v>3.4837962962962965E-3</v>
      </c>
      <c r="D107" s="1" t="s">
        <v>109</v>
      </c>
      <c r="E107" s="1">
        <v>7</v>
      </c>
      <c r="F107">
        <f t="shared" si="1"/>
        <v>2</v>
      </c>
    </row>
    <row r="108" spans="1:9" x14ac:dyDescent="0.3">
      <c r="A108" s="1">
        <v>107</v>
      </c>
      <c r="B108" s="2">
        <v>3.5069444444444445E-3</v>
      </c>
      <c r="C108" s="2">
        <v>3.5300925925925925E-3</v>
      </c>
      <c r="D108" s="1" t="s">
        <v>110</v>
      </c>
      <c r="E108" s="1">
        <v>12</v>
      </c>
      <c r="F108">
        <f t="shared" si="1"/>
        <v>4</v>
      </c>
    </row>
    <row r="109" spans="1:9" x14ac:dyDescent="0.3">
      <c r="A109" s="1">
        <v>108</v>
      </c>
      <c r="B109" s="2">
        <v>3.5300925925925925E-3</v>
      </c>
      <c r="C109" s="2">
        <v>3.5763888888888889E-3</v>
      </c>
      <c r="D109" s="1" t="s">
        <v>111</v>
      </c>
      <c r="E109" s="1">
        <v>6</v>
      </c>
      <c r="F109">
        <f t="shared" si="1"/>
        <v>4</v>
      </c>
    </row>
    <row r="110" spans="1:9" x14ac:dyDescent="0.3">
      <c r="A110" s="1">
        <v>109</v>
      </c>
      <c r="B110" s="2">
        <v>3.5879629629629629E-3</v>
      </c>
      <c r="C110" s="2">
        <v>3.6111111111111109E-3</v>
      </c>
      <c r="D110" s="1" t="s">
        <v>112</v>
      </c>
      <c r="E110" s="1">
        <v>10</v>
      </c>
      <c r="F110">
        <f t="shared" si="1"/>
        <v>7</v>
      </c>
    </row>
    <row r="111" spans="1:9" x14ac:dyDescent="0.3">
      <c r="A111" s="1">
        <v>110</v>
      </c>
      <c r="B111" s="2">
        <v>3.6226851851851854E-3</v>
      </c>
      <c r="C111" s="2">
        <v>3.6342592592592594E-3</v>
      </c>
      <c r="D111" s="1" t="s">
        <v>113</v>
      </c>
      <c r="E111" s="1">
        <v>6</v>
      </c>
      <c r="F111">
        <f t="shared" si="1"/>
        <v>5</v>
      </c>
    </row>
    <row r="112" spans="1:9" x14ac:dyDescent="0.3">
      <c r="A112" s="1">
        <v>111</v>
      </c>
      <c r="B112" s="2">
        <v>3.6458333333333334E-3</v>
      </c>
      <c r="C112" s="2">
        <v>3.6574074074074074E-3</v>
      </c>
      <c r="D112" s="1" t="s">
        <v>114</v>
      </c>
      <c r="E112" s="1">
        <v>9</v>
      </c>
      <c r="F112">
        <f t="shared" si="1"/>
        <v>4</v>
      </c>
    </row>
    <row r="113" spans="1:7" x14ac:dyDescent="0.3">
      <c r="A113" s="1">
        <v>112</v>
      </c>
      <c r="B113" s="2">
        <v>3.6689814814814814E-3</v>
      </c>
      <c r="C113" s="2">
        <v>3.6921296296296298E-3</v>
      </c>
      <c r="D113" s="1" t="s">
        <v>115</v>
      </c>
      <c r="E113" s="1">
        <v>10</v>
      </c>
      <c r="F113">
        <f t="shared" si="1"/>
        <v>6</v>
      </c>
    </row>
    <row r="114" spans="1:7" x14ac:dyDescent="0.3">
      <c r="A114" s="1">
        <v>113</v>
      </c>
      <c r="B114" s="2">
        <v>3.7037037037037038E-3</v>
      </c>
      <c r="C114" s="2">
        <v>3.7152777777777778E-3</v>
      </c>
      <c r="D114" s="1" t="s">
        <v>116</v>
      </c>
      <c r="E114" s="1">
        <v>9</v>
      </c>
      <c r="F114">
        <f t="shared" si="1"/>
        <v>5</v>
      </c>
    </row>
    <row r="115" spans="1:7" x14ac:dyDescent="0.3">
      <c r="A115" s="1">
        <v>114</v>
      </c>
      <c r="B115" s="2">
        <v>3.7152777777777778E-3</v>
      </c>
      <c r="C115" s="2">
        <v>3.7268518518518519E-3</v>
      </c>
      <c r="D115" s="1" t="s">
        <v>117</v>
      </c>
      <c r="E115" s="1">
        <v>4</v>
      </c>
      <c r="F115">
        <f t="shared" si="1"/>
        <v>2</v>
      </c>
    </row>
    <row r="116" spans="1:7" x14ac:dyDescent="0.3">
      <c r="A116" s="1">
        <v>115</v>
      </c>
      <c r="B116" s="2">
        <v>3.7384259259259259E-3</v>
      </c>
      <c r="C116" s="2">
        <v>3.7499999999999999E-3</v>
      </c>
      <c r="D116" s="1" t="s">
        <v>118</v>
      </c>
      <c r="E116" s="1">
        <v>7</v>
      </c>
      <c r="F116">
        <f t="shared" si="1"/>
        <v>3</v>
      </c>
    </row>
    <row r="117" spans="1:7" x14ac:dyDescent="0.3">
      <c r="A117" s="1">
        <v>116</v>
      </c>
      <c r="B117" s="2">
        <v>3.7499999999999999E-3</v>
      </c>
      <c r="C117" s="2">
        <v>3.7615740740740739E-3</v>
      </c>
      <c r="D117" s="1" t="s">
        <v>117</v>
      </c>
      <c r="E117" s="1">
        <v>4</v>
      </c>
      <c r="F117">
        <f t="shared" si="1"/>
        <v>2</v>
      </c>
    </row>
    <row r="118" spans="1:7" x14ac:dyDescent="0.3">
      <c r="A118" s="1">
        <v>117</v>
      </c>
      <c r="B118" s="2">
        <v>3.7962962962962963E-3</v>
      </c>
      <c r="C118" s="2">
        <v>3.7962962962962963E-3</v>
      </c>
      <c r="D118" s="1" t="s">
        <v>119</v>
      </c>
      <c r="E118" s="1">
        <v>4</v>
      </c>
      <c r="F118">
        <f t="shared" si="1"/>
        <v>2</v>
      </c>
    </row>
    <row r="119" spans="1:7" x14ac:dyDescent="0.3">
      <c r="A119" s="1">
        <v>118</v>
      </c>
      <c r="B119" s="2">
        <v>3.8194444444444443E-3</v>
      </c>
      <c r="C119" s="2">
        <v>3.8310185185185183E-3</v>
      </c>
      <c r="D119" s="1" t="s">
        <v>120</v>
      </c>
      <c r="E119" s="1">
        <v>7</v>
      </c>
      <c r="F119">
        <f t="shared" si="1"/>
        <v>4</v>
      </c>
    </row>
    <row r="120" spans="1:7" x14ac:dyDescent="0.3">
      <c r="A120" s="1">
        <v>119</v>
      </c>
      <c r="B120" s="2">
        <v>3.8310185185185183E-3</v>
      </c>
      <c r="C120" s="2">
        <v>3.8425925925925928E-3</v>
      </c>
      <c r="D120" s="1" t="s">
        <v>121</v>
      </c>
      <c r="E120" s="1">
        <v>4</v>
      </c>
      <c r="F120">
        <f t="shared" si="1"/>
        <v>2</v>
      </c>
    </row>
    <row r="121" spans="1:7" x14ac:dyDescent="0.3">
      <c r="A121" s="1">
        <v>120</v>
      </c>
      <c r="B121" s="2">
        <v>3.8425925925925928E-3</v>
      </c>
      <c r="C121" s="2">
        <v>3.8657407407407408E-3</v>
      </c>
      <c r="D121" s="1" t="s">
        <v>122</v>
      </c>
      <c r="E121" s="1">
        <v>14</v>
      </c>
      <c r="F121">
        <f t="shared" si="1"/>
        <v>9</v>
      </c>
      <c r="G121">
        <v>1</v>
      </c>
    </row>
    <row r="122" spans="1:7" x14ac:dyDescent="0.3">
      <c r="A122" s="1">
        <v>121</v>
      </c>
      <c r="B122" s="2">
        <v>3.8773148148148148E-3</v>
      </c>
      <c r="C122" s="2">
        <v>3.8773148148148148E-3</v>
      </c>
      <c r="D122" s="1" t="s">
        <v>121</v>
      </c>
      <c r="E122" s="1">
        <v>4</v>
      </c>
      <c r="F122">
        <f t="shared" si="1"/>
        <v>2</v>
      </c>
    </row>
    <row r="123" spans="1:7" x14ac:dyDescent="0.3">
      <c r="A123" s="1">
        <v>122</v>
      </c>
      <c r="B123" s="2">
        <v>3.9004629629629628E-3</v>
      </c>
      <c r="C123" s="2">
        <v>3.9120370370370368E-3</v>
      </c>
      <c r="D123" s="1" t="s">
        <v>123</v>
      </c>
      <c r="E123" s="1">
        <v>9</v>
      </c>
      <c r="F123">
        <f t="shared" si="1"/>
        <v>5</v>
      </c>
    </row>
    <row r="124" spans="1:7" x14ac:dyDescent="0.3">
      <c r="A124" s="1">
        <v>123</v>
      </c>
      <c r="B124" s="2">
        <v>3.9351851851851848E-3</v>
      </c>
      <c r="C124" s="2">
        <v>3.9583333333333337E-3</v>
      </c>
      <c r="D124" s="1" t="s">
        <v>124</v>
      </c>
      <c r="E124" s="1">
        <v>10</v>
      </c>
      <c r="F124">
        <f t="shared" si="1"/>
        <v>4</v>
      </c>
    </row>
    <row r="125" spans="1:7" x14ac:dyDescent="0.3">
      <c r="A125" s="1">
        <v>124</v>
      </c>
      <c r="B125" s="2">
        <v>3.9699074074074072E-3</v>
      </c>
      <c r="C125" s="2">
        <v>3.9930555555555552E-3</v>
      </c>
      <c r="D125" s="1" t="s">
        <v>125</v>
      </c>
      <c r="E125" s="1">
        <v>11</v>
      </c>
      <c r="F125">
        <f t="shared" si="1"/>
        <v>9</v>
      </c>
    </row>
    <row r="126" spans="1:7" x14ac:dyDescent="0.3">
      <c r="A126" s="1">
        <v>125</v>
      </c>
      <c r="B126" s="2">
        <v>4.0162037037037041E-3</v>
      </c>
      <c r="C126" s="2">
        <v>4.0277777777777777E-3</v>
      </c>
      <c r="D126" s="1" t="s">
        <v>126</v>
      </c>
      <c r="E126" s="1">
        <v>8</v>
      </c>
      <c r="F126">
        <f t="shared" si="1"/>
        <v>6</v>
      </c>
    </row>
    <row r="127" spans="1:7" x14ac:dyDescent="0.3">
      <c r="A127" s="1">
        <v>126</v>
      </c>
      <c r="B127" s="2">
        <v>4.0277777777777777E-3</v>
      </c>
      <c r="C127" s="2">
        <v>4.0625000000000001E-3</v>
      </c>
      <c r="D127" s="1" t="s">
        <v>127</v>
      </c>
      <c r="E127" s="1">
        <v>13</v>
      </c>
      <c r="F127">
        <f t="shared" si="1"/>
        <v>8</v>
      </c>
    </row>
    <row r="128" spans="1:7" x14ac:dyDescent="0.3">
      <c r="A128" s="1">
        <v>127</v>
      </c>
      <c r="B128" s="2">
        <v>4.0972222222222226E-3</v>
      </c>
      <c r="C128" s="2">
        <v>4.1087962962962962E-3</v>
      </c>
      <c r="D128" s="1" t="s">
        <v>128</v>
      </c>
      <c r="E128" s="1">
        <v>2</v>
      </c>
      <c r="F128">
        <f t="shared" si="1"/>
        <v>1</v>
      </c>
    </row>
    <row r="129" spans="1:9" x14ac:dyDescent="0.3">
      <c r="A129" s="1">
        <v>128</v>
      </c>
      <c r="B129" s="2">
        <v>4.1087962962962962E-3</v>
      </c>
      <c r="C129" s="2">
        <v>4.1203703703703706E-3</v>
      </c>
      <c r="D129" s="1" t="s">
        <v>129</v>
      </c>
      <c r="E129" s="1">
        <v>6</v>
      </c>
      <c r="F129">
        <f t="shared" si="1"/>
        <v>4</v>
      </c>
    </row>
    <row r="130" spans="1:9" x14ac:dyDescent="0.3">
      <c r="A130" s="1">
        <v>129</v>
      </c>
      <c r="B130" s="2">
        <v>4.1203703703703706E-3</v>
      </c>
      <c r="C130" s="2">
        <v>4.1435185185185186E-3</v>
      </c>
      <c r="D130" s="1" t="s">
        <v>130</v>
      </c>
      <c r="E130" s="1">
        <v>11</v>
      </c>
      <c r="F130">
        <f t="shared" si="1"/>
        <v>7</v>
      </c>
    </row>
    <row r="131" spans="1:9" x14ac:dyDescent="0.3">
      <c r="A131" s="1">
        <v>130</v>
      </c>
      <c r="B131" s="2">
        <v>4.1550925925925922E-3</v>
      </c>
      <c r="C131" s="2">
        <v>4.178240740740741E-3</v>
      </c>
      <c r="D131" s="1" t="s">
        <v>131</v>
      </c>
      <c r="E131" s="1">
        <v>14</v>
      </c>
      <c r="F131">
        <f t="shared" ref="F131:F194" si="2">IF(TRIM(D131)&lt;&gt;"", LEN(TRIM(D131))-LEN(SUBSTITUTE(TRIM(D131), " ", "")) + 1, 0)</f>
        <v>10</v>
      </c>
      <c r="G131">
        <v>1</v>
      </c>
    </row>
    <row r="132" spans="1:9" x14ac:dyDescent="0.3">
      <c r="A132" s="1">
        <v>131</v>
      </c>
      <c r="B132" s="2">
        <v>4.1898148148148146E-3</v>
      </c>
      <c r="C132" s="2">
        <v>4.2129629629629626E-3</v>
      </c>
      <c r="D132" s="1" t="s">
        <v>132</v>
      </c>
      <c r="E132" s="1">
        <v>13</v>
      </c>
      <c r="F132">
        <f t="shared" si="2"/>
        <v>8</v>
      </c>
    </row>
    <row r="133" spans="1:9" x14ac:dyDescent="0.3">
      <c r="A133" s="1">
        <v>132</v>
      </c>
      <c r="B133" s="2">
        <v>4.2245370370370371E-3</v>
      </c>
      <c r="C133" s="2">
        <v>4.2361111111111115E-3</v>
      </c>
      <c r="D133" s="1" t="s">
        <v>133</v>
      </c>
      <c r="E133" s="1">
        <v>5</v>
      </c>
      <c r="F133">
        <f t="shared" si="2"/>
        <v>3</v>
      </c>
    </row>
    <row r="134" spans="1:9" x14ac:dyDescent="0.3">
      <c r="A134" s="1">
        <v>133</v>
      </c>
      <c r="B134" s="2">
        <v>4.2361111111111115E-3</v>
      </c>
      <c r="C134" s="2">
        <v>4.2476851851851851E-3</v>
      </c>
      <c r="D134" s="1" t="s">
        <v>134</v>
      </c>
      <c r="E134" s="1">
        <v>5</v>
      </c>
      <c r="F134">
        <f t="shared" si="2"/>
        <v>4</v>
      </c>
    </row>
    <row r="135" spans="1:9" x14ac:dyDescent="0.3">
      <c r="A135" s="1">
        <v>134</v>
      </c>
      <c r="B135" s="2">
        <v>4.2476851851851851E-3</v>
      </c>
      <c r="C135" s="2">
        <v>4.2708333333333331E-3</v>
      </c>
      <c r="D135" s="1" t="s">
        <v>135</v>
      </c>
      <c r="E135" s="1">
        <v>7</v>
      </c>
      <c r="F135">
        <f t="shared" si="2"/>
        <v>4</v>
      </c>
    </row>
    <row r="136" spans="1:9" x14ac:dyDescent="0.3">
      <c r="A136" s="1">
        <v>135</v>
      </c>
      <c r="B136" s="2">
        <v>4.2708333333333331E-3</v>
      </c>
      <c r="C136" s="2">
        <v>4.2939814814814811E-3</v>
      </c>
      <c r="D136" s="1" t="s">
        <v>136</v>
      </c>
      <c r="E136" s="1">
        <v>12</v>
      </c>
      <c r="F136">
        <f t="shared" si="2"/>
        <v>10</v>
      </c>
    </row>
    <row r="137" spans="1:9" x14ac:dyDescent="0.3">
      <c r="A137" s="1">
        <v>136</v>
      </c>
      <c r="B137" s="2">
        <v>4.3055555555555555E-3</v>
      </c>
      <c r="C137" s="2">
        <v>4.31712962962963E-3</v>
      </c>
      <c r="D137" s="1" t="s">
        <v>137</v>
      </c>
      <c r="E137" s="1">
        <v>7</v>
      </c>
      <c r="F137">
        <f t="shared" si="2"/>
        <v>6</v>
      </c>
    </row>
    <row r="138" spans="1:9" x14ac:dyDescent="0.3">
      <c r="A138" s="1">
        <v>137</v>
      </c>
      <c r="B138" s="2">
        <v>4.31712962962963E-3</v>
      </c>
      <c r="C138" s="2">
        <v>4.340277777777778E-3</v>
      </c>
      <c r="D138" s="1" t="s">
        <v>138</v>
      </c>
      <c r="E138" s="1">
        <v>9</v>
      </c>
      <c r="F138">
        <f t="shared" si="2"/>
        <v>6</v>
      </c>
    </row>
    <row r="139" spans="1:9" x14ac:dyDescent="0.3">
      <c r="A139" s="1">
        <v>138</v>
      </c>
      <c r="B139" s="2">
        <v>4.340277777777778E-3</v>
      </c>
      <c r="C139" s="2">
        <v>4.363425925925926E-3</v>
      </c>
      <c r="D139" s="1" t="s">
        <v>139</v>
      </c>
      <c r="E139" s="1">
        <v>13</v>
      </c>
      <c r="F139">
        <f t="shared" si="2"/>
        <v>10</v>
      </c>
    </row>
    <row r="140" spans="1:9" x14ac:dyDescent="0.3">
      <c r="A140" s="1">
        <v>139</v>
      </c>
      <c r="B140" s="2">
        <v>4.363425925925926E-3</v>
      </c>
      <c r="C140" s="2">
        <v>4.3750000000000004E-3</v>
      </c>
      <c r="D140" s="1" t="s">
        <v>140</v>
      </c>
      <c r="E140" s="1">
        <v>7</v>
      </c>
      <c r="F140">
        <f t="shared" si="2"/>
        <v>4</v>
      </c>
    </row>
    <row r="141" spans="1:9" x14ac:dyDescent="0.3">
      <c r="A141" s="1">
        <v>140</v>
      </c>
      <c r="B141" s="2">
        <v>4.386574074074074E-3</v>
      </c>
      <c r="C141" s="2">
        <v>4.409722222222222E-3</v>
      </c>
      <c r="D141" s="1" t="s">
        <v>141</v>
      </c>
      <c r="E141" s="1">
        <v>9</v>
      </c>
      <c r="F141">
        <f t="shared" si="2"/>
        <v>5</v>
      </c>
      <c r="I141">
        <v>2</v>
      </c>
    </row>
    <row r="142" spans="1:9" x14ac:dyDescent="0.3">
      <c r="A142" s="1">
        <v>141</v>
      </c>
      <c r="B142" s="2">
        <v>4.409722222222222E-3</v>
      </c>
      <c r="C142" s="2">
        <v>4.4212962962962964E-3</v>
      </c>
      <c r="D142" s="1" t="s">
        <v>142</v>
      </c>
      <c r="E142" s="1">
        <v>6</v>
      </c>
      <c r="F142">
        <f t="shared" si="2"/>
        <v>4</v>
      </c>
    </row>
    <row r="143" spans="1:9" x14ac:dyDescent="0.3">
      <c r="A143" s="1">
        <v>142</v>
      </c>
      <c r="B143" s="2">
        <v>4.43287037037037E-3</v>
      </c>
      <c r="C143" s="2">
        <v>4.43287037037037E-3</v>
      </c>
      <c r="D143" s="1" t="s">
        <v>143</v>
      </c>
      <c r="E143" s="1">
        <v>2</v>
      </c>
      <c r="F143">
        <f t="shared" si="2"/>
        <v>1</v>
      </c>
    </row>
    <row r="144" spans="1:9" x14ac:dyDescent="0.3">
      <c r="A144" s="1">
        <v>143</v>
      </c>
      <c r="B144" s="2">
        <v>4.4675925925925924E-3</v>
      </c>
      <c r="C144" s="2">
        <v>4.4791666666666669E-3</v>
      </c>
      <c r="D144" s="1" t="s">
        <v>144</v>
      </c>
      <c r="E144" s="1">
        <v>6</v>
      </c>
      <c r="F144">
        <f t="shared" si="2"/>
        <v>5</v>
      </c>
    </row>
    <row r="145" spans="1:6" x14ac:dyDescent="0.3">
      <c r="A145" s="1">
        <v>144</v>
      </c>
      <c r="B145" s="2">
        <v>4.4791666666666669E-3</v>
      </c>
      <c r="C145" s="2">
        <v>4.5138888888888885E-3</v>
      </c>
      <c r="D145" s="1" t="s">
        <v>87</v>
      </c>
      <c r="E145" s="1">
        <v>5</v>
      </c>
      <c r="F145">
        <f t="shared" si="2"/>
        <v>2</v>
      </c>
    </row>
    <row r="146" spans="1:6" x14ac:dyDescent="0.3">
      <c r="A146" s="1">
        <v>145</v>
      </c>
      <c r="B146" s="2">
        <v>4.5370370370370373E-3</v>
      </c>
      <c r="C146" s="2">
        <v>4.5601851851851853E-3</v>
      </c>
      <c r="D146" s="1" t="s">
        <v>145</v>
      </c>
      <c r="E146" s="1">
        <v>10</v>
      </c>
      <c r="F146">
        <f t="shared" si="2"/>
        <v>7</v>
      </c>
    </row>
    <row r="147" spans="1:6" x14ac:dyDescent="0.3">
      <c r="A147" s="1">
        <v>146</v>
      </c>
      <c r="B147" s="2">
        <v>4.5601851851851853E-3</v>
      </c>
      <c r="C147" s="2">
        <v>4.5717592592592589E-3</v>
      </c>
      <c r="D147" s="1" t="s">
        <v>146</v>
      </c>
      <c r="E147" s="1">
        <v>10</v>
      </c>
      <c r="F147">
        <f t="shared" si="2"/>
        <v>5</v>
      </c>
    </row>
    <row r="148" spans="1:6" x14ac:dyDescent="0.3">
      <c r="A148" s="1">
        <v>147</v>
      </c>
      <c r="B148" s="2">
        <v>4.5717592592592589E-3</v>
      </c>
      <c r="C148" s="2">
        <v>4.5833333333333334E-3</v>
      </c>
      <c r="D148" s="1" t="s">
        <v>146</v>
      </c>
      <c r="E148" s="1">
        <v>10</v>
      </c>
      <c r="F148">
        <f t="shared" si="2"/>
        <v>5</v>
      </c>
    </row>
    <row r="149" spans="1:6" x14ac:dyDescent="0.3">
      <c r="A149" s="1">
        <v>148</v>
      </c>
      <c r="B149" s="2">
        <v>4.5833333333333334E-3</v>
      </c>
      <c r="C149" s="2">
        <v>4.5949074074074078E-3</v>
      </c>
      <c r="D149" s="1" t="s">
        <v>147</v>
      </c>
      <c r="E149" s="1">
        <v>8</v>
      </c>
      <c r="F149">
        <f t="shared" si="2"/>
        <v>4</v>
      </c>
    </row>
    <row r="150" spans="1:6" x14ac:dyDescent="0.3">
      <c r="A150" s="1">
        <v>149</v>
      </c>
      <c r="B150" s="2">
        <v>4.5949074074074078E-3</v>
      </c>
      <c r="C150" s="2">
        <v>4.6064814814814814E-3</v>
      </c>
      <c r="D150" s="1" t="s">
        <v>148</v>
      </c>
      <c r="E150" s="1">
        <v>6</v>
      </c>
      <c r="F150">
        <f t="shared" si="2"/>
        <v>3</v>
      </c>
    </row>
    <row r="151" spans="1:6" x14ac:dyDescent="0.3">
      <c r="A151" s="1">
        <v>150</v>
      </c>
      <c r="B151" s="2">
        <v>4.6064814814814814E-3</v>
      </c>
      <c r="C151" s="2">
        <v>4.6180555555555558E-3</v>
      </c>
      <c r="D151" s="1" t="s">
        <v>149</v>
      </c>
      <c r="E151" s="1">
        <v>5</v>
      </c>
      <c r="F151">
        <f t="shared" si="2"/>
        <v>2</v>
      </c>
    </row>
    <row r="152" spans="1:6" x14ac:dyDescent="0.3">
      <c r="A152" s="1">
        <v>151</v>
      </c>
      <c r="B152" s="2">
        <v>4.6180555555555558E-3</v>
      </c>
      <c r="C152" s="2">
        <v>4.6180555555555558E-3</v>
      </c>
      <c r="D152" s="1" t="s">
        <v>149</v>
      </c>
      <c r="E152" s="1">
        <v>5</v>
      </c>
      <c r="F152">
        <f t="shared" si="2"/>
        <v>2</v>
      </c>
    </row>
    <row r="153" spans="1:6" x14ac:dyDescent="0.3">
      <c r="A153" s="1">
        <v>152</v>
      </c>
      <c r="B153" s="2">
        <v>4.6180555555555558E-3</v>
      </c>
      <c r="C153" s="2">
        <v>4.6296296296296294E-3</v>
      </c>
      <c r="D153" s="1" t="s">
        <v>10</v>
      </c>
      <c r="E153" s="1">
        <v>2</v>
      </c>
      <c r="F153">
        <f t="shared" si="2"/>
        <v>1</v>
      </c>
    </row>
    <row r="154" spans="1:6" x14ac:dyDescent="0.3">
      <c r="A154" s="1">
        <v>153</v>
      </c>
      <c r="B154" s="2">
        <v>4.6296296296296294E-3</v>
      </c>
      <c r="C154" s="2">
        <v>4.7800925925925927E-3</v>
      </c>
      <c r="D154" s="1" t="s">
        <v>148</v>
      </c>
      <c r="E154" s="1">
        <v>6</v>
      </c>
      <c r="F154">
        <f t="shared" si="2"/>
        <v>3</v>
      </c>
    </row>
    <row r="155" spans="1:6" x14ac:dyDescent="0.3">
      <c r="A155" s="1">
        <v>154</v>
      </c>
      <c r="B155" s="2">
        <v>4.7800925925925927E-3</v>
      </c>
      <c r="C155" s="2">
        <v>4.8032407407407407E-3</v>
      </c>
      <c r="D155" s="1" t="s">
        <v>150</v>
      </c>
      <c r="E155" s="1">
        <v>4</v>
      </c>
      <c r="F155">
        <f t="shared" si="2"/>
        <v>1</v>
      </c>
    </row>
    <row r="156" spans="1:6" x14ac:dyDescent="0.3">
      <c r="A156" s="1">
        <v>155</v>
      </c>
      <c r="B156" s="2">
        <v>4.8495370370370368E-3</v>
      </c>
      <c r="C156" s="2">
        <v>4.8842592592592592E-3</v>
      </c>
      <c r="D156" s="1" t="s">
        <v>151</v>
      </c>
      <c r="E156" s="1">
        <v>17</v>
      </c>
      <c r="F156">
        <f t="shared" si="2"/>
        <v>8</v>
      </c>
    </row>
    <row r="157" spans="1:6" x14ac:dyDescent="0.3">
      <c r="A157" s="1">
        <v>156</v>
      </c>
      <c r="B157" s="2">
        <v>4.9189814814814816E-3</v>
      </c>
      <c r="C157" s="2">
        <v>4.9305555555555552E-3</v>
      </c>
      <c r="D157" s="1" t="s">
        <v>152</v>
      </c>
      <c r="E157" s="1">
        <v>6</v>
      </c>
      <c r="F157">
        <f t="shared" si="2"/>
        <v>2</v>
      </c>
    </row>
    <row r="158" spans="1:6" x14ac:dyDescent="0.3">
      <c r="A158" s="1">
        <v>157</v>
      </c>
      <c r="B158" s="2">
        <v>4.9305555555555552E-3</v>
      </c>
      <c r="C158" s="2">
        <v>4.9421296296296297E-3</v>
      </c>
      <c r="D158" s="1" t="s">
        <v>153</v>
      </c>
      <c r="E158" s="1">
        <v>11</v>
      </c>
      <c r="F158">
        <f t="shared" si="2"/>
        <v>4</v>
      </c>
    </row>
    <row r="159" spans="1:6" x14ac:dyDescent="0.3">
      <c r="A159" s="1">
        <v>158</v>
      </c>
      <c r="B159" s="2">
        <v>4.9652777777777777E-3</v>
      </c>
      <c r="C159" s="2">
        <v>4.9768518518518521E-3</v>
      </c>
      <c r="D159" s="1" t="s">
        <v>154</v>
      </c>
      <c r="E159" s="1">
        <v>8</v>
      </c>
      <c r="F159">
        <f t="shared" si="2"/>
        <v>3</v>
      </c>
    </row>
    <row r="160" spans="1:6" x14ac:dyDescent="0.3">
      <c r="A160" s="1">
        <v>159</v>
      </c>
      <c r="B160" s="2">
        <v>4.9768518518518521E-3</v>
      </c>
      <c r="C160" s="2">
        <v>5.0000000000000001E-3</v>
      </c>
      <c r="D160" s="1" t="s">
        <v>155</v>
      </c>
      <c r="E160" s="1">
        <v>10</v>
      </c>
      <c r="F160">
        <f t="shared" si="2"/>
        <v>4</v>
      </c>
    </row>
    <row r="161" spans="1:6" x14ac:dyDescent="0.3">
      <c r="A161" s="1">
        <v>160</v>
      </c>
      <c r="B161" s="2">
        <v>5.0115740740740737E-3</v>
      </c>
      <c r="C161" s="2">
        <v>5.0231481481481481E-3</v>
      </c>
      <c r="D161" s="1" t="s">
        <v>156</v>
      </c>
      <c r="E161" s="1">
        <v>11</v>
      </c>
      <c r="F161">
        <f t="shared" si="2"/>
        <v>8</v>
      </c>
    </row>
    <row r="162" spans="1:6" x14ac:dyDescent="0.3">
      <c r="A162" s="1">
        <v>161</v>
      </c>
      <c r="B162" s="2">
        <v>5.0462962962962961E-3</v>
      </c>
      <c r="C162" s="2">
        <v>5.0578703703703706E-3</v>
      </c>
      <c r="D162" s="1" t="s">
        <v>157</v>
      </c>
      <c r="E162" s="1">
        <v>3</v>
      </c>
      <c r="F162">
        <f t="shared" si="2"/>
        <v>2</v>
      </c>
    </row>
    <row r="163" spans="1:6" x14ac:dyDescent="0.3">
      <c r="A163" s="1">
        <v>162</v>
      </c>
      <c r="B163" s="2">
        <v>5.0578703703703706E-3</v>
      </c>
      <c r="C163" s="2">
        <v>5.0694444444444441E-3</v>
      </c>
      <c r="D163" s="1" t="s">
        <v>158</v>
      </c>
      <c r="E163" s="1">
        <v>6</v>
      </c>
      <c r="F163">
        <f t="shared" si="2"/>
        <v>3</v>
      </c>
    </row>
    <row r="164" spans="1:6" x14ac:dyDescent="0.3">
      <c r="A164" s="1">
        <v>163</v>
      </c>
      <c r="B164" s="2">
        <v>5.0810185185185186E-3</v>
      </c>
      <c r="C164" s="2">
        <v>5.092592592592593E-3</v>
      </c>
      <c r="D164" s="1" t="s">
        <v>159</v>
      </c>
      <c r="E164" s="1">
        <v>5</v>
      </c>
      <c r="F164">
        <f t="shared" si="2"/>
        <v>2</v>
      </c>
    </row>
    <row r="165" spans="1:6" x14ac:dyDescent="0.3">
      <c r="A165" s="1">
        <v>164</v>
      </c>
      <c r="B165" s="2">
        <v>5.092592592592593E-3</v>
      </c>
      <c r="C165" s="2">
        <v>5.1041666666666666E-3</v>
      </c>
      <c r="D165" s="1" t="s">
        <v>10</v>
      </c>
      <c r="E165" s="1">
        <v>2</v>
      </c>
      <c r="F165">
        <f t="shared" si="2"/>
        <v>1</v>
      </c>
    </row>
    <row r="166" spans="1:6" x14ac:dyDescent="0.3">
      <c r="A166" s="1">
        <v>165</v>
      </c>
      <c r="B166" s="2">
        <v>5.115740740740741E-3</v>
      </c>
      <c r="C166" s="2">
        <v>5.1273148148148146E-3</v>
      </c>
      <c r="D166" s="1" t="s">
        <v>160</v>
      </c>
      <c r="E166" s="1">
        <v>3</v>
      </c>
      <c r="F166">
        <f t="shared" si="2"/>
        <v>1</v>
      </c>
    </row>
    <row r="167" spans="1:6" x14ac:dyDescent="0.3">
      <c r="A167" s="1">
        <v>166</v>
      </c>
      <c r="B167" s="2">
        <v>5.1273148148148146E-3</v>
      </c>
      <c r="C167" s="2">
        <v>5.1504629629629626E-3</v>
      </c>
      <c r="D167" s="1" t="s">
        <v>161</v>
      </c>
      <c r="E167" s="1">
        <v>3</v>
      </c>
      <c r="F167">
        <f t="shared" si="2"/>
        <v>1</v>
      </c>
    </row>
    <row r="168" spans="1:6" x14ac:dyDescent="0.3">
      <c r="A168" s="1">
        <v>167</v>
      </c>
      <c r="B168" s="2">
        <v>5.2546296296296299E-3</v>
      </c>
      <c r="C168" s="2">
        <v>5.2662037037037035E-3</v>
      </c>
      <c r="D168" s="1" t="s">
        <v>162</v>
      </c>
      <c r="E168" s="1">
        <v>3</v>
      </c>
      <c r="F168">
        <f t="shared" si="2"/>
        <v>1</v>
      </c>
    </row>
    <row r="169" spans="1:6" x14ac:dyDescent="0.3">
      <c r="A169" s="1">
        <v>168</v>
      </c>
      <c r="B169" s="2">
        <v>5.2662037037037035E-3</v>
      </c>
      <c r="C169" s="2">
        <v>5.2777777777777779E-3</v>
      </c>
      <c r="D169" s="1" t="s">
        <v>163</v>
      </c>
      <c r="E169" s="1">
        <v>3</v>
      </c>
      <c r="F169">
        <f t="shared" si="2"/>
        <v>1</v>
      </c>
    </row>
    <row r="170" spans="1:6" x14ac:dyDescent="0.3">
      <c r="A170" s="1">
        <v>169</v>
      </c>
      <c r="B170" s="2">
        <v>5.347222222222222E-3</v>
      </c>
      <c r="C170" s="2">
        <v>5.37037037037037E-3</v>
      </c>
      <c r="D170" s="1" t="s">
        <v>164</v>
      </c>
      <c r="E170" s="1">
        <v>12</v>
      </c>
      <c r="F170">
        <f t="shared" si="2"/>
        <v>6</v>
      </c>
    </row>
    <row r="171" spans="1:6" x14ac:dyDescent="0.3">
      <c r="A171" s="1">
        <v>170</v>
      </c>
      <c r="B171" s="2">
        <v>5.3819444444444444E-3</v>
      </c>
      <c r="C171" s="2">
        <v>5.4166666666666669E-3</v>
      </c>
      <c r="D171" s="1" t="s">
        <v>165</v>
      </c>
      <c r="E171" s="1">
        <v>13</v>
      </c>
      <c r="F171">
        <f t="shared" si="2"/>
        <v>5</v>
      </c>
    </row>
    <row r="172" spans="1:6" x14ac:dyDescent="0.3">
      <c r="A172" s="1">
        <v>171</v>
      </c>
      <c r="B172" s="2">
        <v>5.4513888888888893E-3</v>
      </c>
      <c r="C172" s="2">
        <v>5.4629629629629629E-3</v>
      </c>
      <c r="D172" s="1" t="s">
        <v>166</v>
      </c>
      <c r="E172" s="1">
        <v>6</v>
      </c>
      <c r="F172">
        <f t="shared" si="2"/>
        <v>5</v>
      </c>
    </row>
    <row r="173" spans="1:6" x14ac:dyDescent="0.3">
      <c r="A173" s="1">
        <v>172</v>
      </c>
      <c r="B173" s="2">
        <v>5.4629629629629629E-3</v>
      </c>
      <c r="C173" s="2">
        <v>5.4976851851851853E-3</v>
      </c>
      <c r="D173" s="1" t="s">
        <v>167</v>
      </c>
      <c r="E173" s="1">
        <v>16</v>
      </c>
      <c r="F173">
        <f t="shared" si="2"/>
        <v>12</v>
      </c>
    </row>
    <row r="174" spans="1:6" x14ac:dyDescent="0.3">
      <c r="A174" s="1">
        <v>173</v>
      </c>
      <c r="B174" s="2">
        <v>5.5092592592592589E-3</v>
      </c>
      <c r="C174" s="2">
        <v>5.5208333333333333E-3</v>
      </c>
      <c r="D174" s="1" t="s">
        <v>168</v>
      </c>
      <c r="E174" s="1">
        <v>7</v>
      </c>
      <c r="F174">
        <f t="shared" si="2"/>
        <v>4</v>
      </c>
    </row>
    <row r="175" spans="1:6" x14ac:dyDescent="0.3">
      <c r="A175" s="1">
        <v>174</v>
      </c>
      <c r="B175" s="2">
        <v>5.5324074074074078E-3</v>
      </c>
      <c r="C175" s="2">
        <v>5.5439814814814813E-3</v>
      </c>
      <c r="D175" s="1" t="s">
        <v>169</v>
      </c>
      <c r="E175" s="1">
        <v>7</v>
      </c>
      <c r="F175">
        <f t="shared" si="2"/>
        <v>5</v>
      </c>
    </row>
    <row r="176" spans="1:6" x14ac:dyDescent="0.3">
      <c r="A176" s="1">
        <v>175</v>
      </c>
      <c r="B176" s="2">
        <v>5.5439814814814813E-3</v>
      </c>
      <c r="C176" s="2">
        <v>5.5787037037037038E-3</v>
      </c>
      <c r="D176" s="1" t="s">
        <v>170</v>
      </c>
      <c r="E176" s="1">
        <v>19</v>
      </c>
      <c r="F176">
        <f t="shared" si="2"/>
        <v>13</v>
      </c>
    </row>
    <row r="177" spans="1:6" x14ac:dyDescent="0.3">
      <c r="A177" s="1">
        <v>176</v>
      </c>
      <c r="B177" s="2">
        <v>5.6018518518518518E-3</v>
      </c>
      <c r="C177" s="2">
        <v>5.6134259259259262E-3</v>
      </c>
      <c r="D177" s="1" t="s">
        <v>171</v>
      </c>
      <c r="E177" s="1">
        <v>9</v>
      </c>
      <c r="F177">
        <f t="shared" si="2"/>
        <v>4</v>
      </c>
    </row>
    <row r="178" spans="1:6" x14ac:dyDescent="0.3">
      <c r="A178" s="1">
        <v>177</v>
      </c>
      <c r="B178" s="2">
        <v>5.6249999999999998E-3</v>
      </c>
      <c r="C178" s="2">
        <v>5.6365740740740742E-3</v>
      </c>
      <c r="D178" s="1" t="s">
        <v>172</v>
      </c>
      <c r="E178" s="1">
        <v>4</v>
      </c>
      <c r="F178">
        <f t="shared" si="2"/>
        <v>1</v>
      </c>
    </row>
    <row r="179" spans="1:6" x14ac:dyDescent="0.3">
      <c r="A179" s="1">
        <v>178</v>
      </c>
      <c r="B179" s="2">
        <v>5.6597222222222222E-3</v>
      </c>
      <c r="C179" s="2">
        <v>5.6828703703703702E-3</v>
      </c>
      <c r="D179" s="1" t="s">
        <v>173</v>
      </c>
      <c r="E179" s="1">
        <v>9</v>
      </c>
      <c r="F179">
        <f t="shared" si="2"/>
        <v>6</v>
      </c>
    </row>
    <row r="180" spans="1:6" x14ac:dyDescent="0.3">
      <c r="A180" s="1">
        <v>179</v>
      </c>
      <c r="B180" s="2">
        <v>5.6944444444444447E-3</v>
      </c>
      <c r="C180" s="2">
        <v>5.7060185185185183E-3</v>
      </c>
      <c r="D180" s="1" t="s">
        <v>174</v>
      </c>
      <c r="E180" s="1">
        <v>8</v>
      </c>
      <c r="F180">
        <f t="shared" si="2"/>
        <v>3</v>
      </c>
    </row>
    <row r="181" spans="1:6" x14ac:dyDescent="0.3">
      <c r="A181" s="1">
        <v>180</v>
      </c>
      <c r="B181" s="2">
        <v>5.7060185185185183E-3</v>
      </c>
      <c r="C181" s="2">
        <v>5.7175925925925927E-3</v>
      </c>
      <c r="D181" s="1" t="s">
        <v>10</v>
      </c>
      <c r="E181" s="1">
        <v>2</v>
      </c>
      <c r="F181">
        <f t="shared" si="2"/>
        <v>1</v>
      </c>
    </row>
    <row r="182" spans="1:6" x14ac:dyDescent="0.3">
      <c r="A182" s="1">
        <v>181</v>
      </c>
      <c r="B182" s="2">
        <v>5.7175925925925927E-3</v>
      </c>
      <c r="C182" s="2">
        <v>5.7291666666666663E-3</v>
      </c>
      <c r="D182" s="1" t="s">
        <v>10</v>
      </c>
      <c r="E182" s="1">
        <v>2</v>
      </c>
      <c r="F182">
        <f t="shared" si="2"/>
        <v>1</v>
      </c>
    </row>
    <row r="183" spans="1:6" x14ac:dyDescent="0.3">
      <c r="A183" s="1">
        <v>182</v>
      </c>
      <c r="B183" s="2">
        <v>5.7291666666666663E-3</v>
      </c>
      <c r="C183" s="2">
        <v>5.7407407407407407E-3</v>
      </c>
      <c r="D183" s="1" t="s">
        <v>175</v>
      </c>
      <c r="E183" s="1">
        <v>13</v>
      </c>
      <c r="F183">
        <f t="shared" si="2"/>
        <v>8</v>
      </c>
    </row>
    <row r="184" spans="1:6" x14ac:dyDescent="0.3">
      <c r="A184" s="1">
        <v>183</v>
      </c>
      <c r="B184" s="2">
        <v>5.7523148148148151E-3</v>
      </c>
      <c r="C184" s="2">
        <v>5.7754629629629631E-3</v>
      </c>
      <c r="D184" s="1" t="s">
        <v>176</v>
      </c>
      <c r="E184" s="1">
        <v>12</v>
      </c>
      <c r="F184">
        <f t="shared" si="2"/>
        <v>9</v>
      </c>
    </row>
    <row r="185" spans="1:6" x14ac:dyDescent="0.3">
      <c r="A185" s="1">
        <v>184</v>
      </c>
      <c r="B185" s="2">
        <v>5.7754629629629631E-3</v>
      </c>
      <c r="C185" s="2">
        <v>5.7870370370370367E-3</v>
      </c>
      <c r="D185" s="1" t="s">
        <v>177</v>
      </c>
      <c r="E185" s="1">
        <v>7</v>
      </c>
      <c r="F185">
        <f t="shared" si="2"/>
        <v>4</v>
      </c>
    </row>
    <row r="186" spans="1:6" x14ac:dyDescent="0.3">
      <c r="A186" s="1">
        <v>185</v>
      </c>
      <c r="B186" s="2">
        <v>5.7986111111111112E-3</v>
      </c>
      <c r="C186" s="2">
        <v>5.8333333333333336E-3</v>
      </c>
      <c r="D186" s="1" t="s">
        <v>178</v>
      </c>
      <c r="E186" s="1">
        <v>14</v>
      </c>
      <c r="F186">
        <f t="shared" si="2"/>
        <v>9</v>
      </c>
    </row>
    <row r="187" spans="1:6" x14ac:dyDescent="0.3">
      <c r="A187" s="1">
        <v>186</v>
      </c>
      <c r="B187" s="2">
        <v>5.8333333333333336E-3</v>
      </c>
      <c r="C187" s="2">
        <v>5.8449074074074072E-3</v>
      </c>
      <c r="D187" s="1" t="s">
        <v>179</v>
      </c>
      <c r="E187" s="1">
        <v>3</v>
      </c>
      <c r="F187">
        <f t="shared" si="2"/>
        <v>2</v>
      </c>
    </row>
    <row r="188" spans="1:6" x14ac:dyDescent="0.3">
      <c r="A188" s="1">
        <v>187</v>
      </c>
      <c r="B188" s="2">
        <v>5.8564814814814816E-3</v>
      </c>
      <c r="C188" s="2">
        <v>5.8796296296296296E-3</v>
      </c>
      <c r="D188" s="1" t="s">
        <v>180</v>
      </c>
      <c r="E188" s="1">
        <v>14</v>
      </c>
      <c r="F188">
        <f t="shared" si="2"/>
        <v>12</v>
      </c>
    </row>
    <row r="189" spans="1:6" x14ac:dyDescent="0.3">
      <c r="A189" s="1">
        <v>188</v>
      </c>
      <c r="B189" s="2">
        <v>5.8796296296296296E-3</v>
      </c>
      <c r="C189" s="2">
        <v>5.8912037037037041E-3</v>
      </c>
      <c r="D189" s="1" t="s">
        <v>181</v>
      </c>
      <c r="E189" s="1">
        <v>5</v>
      </c>
      <c r="F189">
        <f t="shared" si="2"/>
        <v>2</v>
      </c>
    </row>
    <row r="190" spans="1:6" x14ac:dyDescent="0.3">
      <c r="A190" s="1">
        <v>189</v>
      </c>
      <c r="B190" s="2">
        <v>5.8912037037037041E-3</v>
      </c>
      <c r="C190" s="2">
        <v>5.9027777777777776E-3</v>
      </c>
      <c r="D190" s="1" t="s">
        <v>181</v>
      </c>
      <c r="E190" s="1">
        <v>5</v>
      </c>
      <c r="F190">
        <f t="shared" si="2"/>
        <v>2</v>
      </c>
    </row>
    <row r="191" spans="1:6" x14ac:dyDescent="0.3">
      <c r="A191" s="1">
        <v>190</v>
      </c>
      <c r="B191" s="2">
        <v>5.9027777777777776E-3</v>
      </c>
      <c r="C191" s="2">
        <v>5.9027777777777776E-3</v>
      </c>
      <c r="D191" s="1" t="s">
        <v>182</v>
      </c>
      <c r="E191" s="1">
        <v>4</v>
      </c>
      <c r="F191">
        <f t="shared" si="2"/>
        <v>2</v>
      </c>
    </row>
    <row r="192" spans="1:6" x14ac:dyDescent="0.3">
      <c r="A192" s="1">
        <v>191</v>
      </c>
      <c r="B192" s="2">
        <v>5.9027777777777776E-3</v>
      </c>
      <c r="C192" s="2">
        <v>5.9143518518518521E-3</v>
      </c>
      <c r="D192" s="1" t="s">
        <v>183</v>
      </c>
      <c r="E192" s="1">
        <v>5</v>
      </c>
      <c r="F192">
        <f t="shared" si="2"/>
        <v>2</v>
      </c>
    </row>
    <row r="193" spans="1:10" x14ac:dyDescent="0.3">
      <c r="A193" s="1">
        <v>192</v>
      </c>
      <c r="B193" s="2">
        <v>5.9143518518518521E-3</v>
      </c>
      <c r="C193" s="2">
        <v>5.9259259259259256E-3</v>
      </c>
      <c r="D193" s="1" t="s">
        <v>184</v>
      </c>
      <c r="E193" s="1">
        <v>12</v>
      </c>
      <c r="F193">
        <f t="shared" si="2"/>
        <v>8</v>
      </c>
    </row>
    <row r="194" spans="1:10" x14ac:dyDescent="0.3">
      <c r="A194" s="1">
        <v>193</v>
      </c>
      <c r="B194" s="2">
        <v>5.9259259259259256E-3</v>
      </c>
      <c r="C194" s="2">
        <v>5.9375000000000001E-3</v>
      </c>
      <c r="D194" s="1" t="s">
        <v>185</v>
      </c>
      <c r="E194" s="1">
        <v>9</v>
      </c>
      <c r="F194">
        <f t="shared" si="2"/>
        <v>7</v>
      </c>
    </row>
    <row r="195" spans="1:10" x14ac:dyDescent="0.3">
      <c r="A195" s="1">
        <v>194</v>
      </c>
      <c r="B195" s="2">
        <v>5.9375000000000001E-3</v>
      </c>
      <c r="C195" s="2">
        <v>5.9490740740740745E-3</v>
      </c>
      <c r="D195" s="1" t="s">
        <v>186</v>
      </c>
      <c r="E195" s="1">
        <v>16</v>
      </c>
      <c r="F195">
        <f t="shared" ref="F195:F201" si="3">IF(TRIM(D195)&lt;&gt;"", LEN(TRIM(D195))-LEN(SUBSTITUTE(TRIM(D195), " ", "")) + 1, 0)</f>
        <v>9</v>
      </c>
    </row>
    <row r="196" spans="1:10" x14ac:dyDescent="0.3">
      <c r="A196" s="1">
        <v>195</v>
      </c>
      <c r="B196" s="2">
        <v>5.9490740740740745E-3</v>
      </c>
      <c r="C196" s="2">
        <v>5.9606481481481481E-3</v>
      </c>
      <c r="D196" s="1" t="s">
        <v>187</v>
      </c>
      <c r="E196" s="1">
        <v>12</v>
      </c>
      <c r="F196">
        <f t="shared" si="3"/>
        <v>9</v>
      </c>
    </row>
    <row r="197" spans="1:10" x14ac:dyDescent="0.3">
      <c r="A197" s="1">
        <v>196</v>
      </c>
      <c r="B197" s="2">
        <v>5.9606481481481481E-3</v>
      </c>
      <c r="C197" s="2">
        <v>5.9722222222222225E-3</v>
      </c>
      <c r="D197" s="1" t="s">
        <v>188</v>
      </c>
      <c r="E197" s="1">
        <v>11</v>
      </c>
      <c r="F197">
        <f t="shared" si="3"/>
        <v>9</v>
      </c>
    </row>
    <row r="198" spans="1:10" x14ac:dyDescent="0.3">
      <c r="A198" s="1">
        <v>197</v>
      </c>
      <c r="B198" s="2">
        <v>5.9722222222222225E-3</v>
      </c>
      <c r="C198" s="2">
        <v>6.0069444444444441E-3</v>
      </c>
      <c r="D198" s="1" t="s">
        <v>189</v>
      </c>
      <c r="E198" s="1">
        <v>13</v>
      </c>
      <c r="F198">
        <f t="shared" si="3"/>
        <v>10</v>
      </c>
    </row>
    <row r="199" spans="1:10" x14ac:dyDescent="0.3">
      <c r="A199" s="1">
        <v>198</v>
      </c>
      <c r="B199" s="2">
        <v>6.0185185185185185E-3</v>
      </c>
      <c r="C199" s="2">
        <v>6.030092592592593E-3</v>
      </c>
      <c r="D199" s="1" t="s">
        <v>190</v>
      </c>
      <c r="E199" s="1">
        <v>7</v>
      </c>
      <c r="F199">
        <f t="shared" si="3"/>
        <v>4</v>
      </c>
    </row>
    <row r="200" spans="1:10" x14ac:dyDescent="0.3">
      <c r="A200" s="1">
        <v>199</v>
      </c>
      <c r="B200" s="2">
        <v>6.030092592592593E-3</v>
      </c>
      <c r="C200" s="2">
        <v>6.030092592592593E-3</v>
      </c>
      <c r="D200" s="1" t="s">
        <v>185</v>
      </c>
      <c r="E200" s="1">
        <v>9</v>
      </c>
      <c r="F200">
        <f t="shared" si="3"/>
        <v>7</v>
      </c>
    </row>
    <row r="201" spans="1:10" x14ac:dyDescent="0.3">
      <c r="A201" s="1">
        <v>200</v>
      </c>
      <c r="B201" s="2">
        <v>6.030092592592593E-3</v>
      </c>
      <c r="C201" s="2">
        <v>6.053240740740741E-3</v>
      </c>
      <c r="D201" s="1" t="s">
        <v>186</v>
      </c>
      <c r="E201" s="1">
        <v>16</v>
      </c>
      <c r="F201">
        <f t="shared" si="3"/>
        <v>9</v>
      </c>
    </row>
    <row r="202" spans="1:10" x14ac:dyDescent="0.3">
      <c r="A202" s="1"/>
      <c r="B202" s="2"/>
      <c r="C202" s="2"/>
      <c r="D202" s="1"/>
      <c r="E202" s="1"/>
    </row>
    <row r="203" spans="1:10" x14ac:dyDescent="0.3">
      <c r="A203" s="1"/>
      <c r="B203" s="1"/>
      <c r="C203" s="1"/>
      <c r="D203" s="1"/>
      <c r="E203" s="1"/>
    </row>
    <row r="205" spans="1:10" ht="23.4" x14ac:dyDescent="0.45">
      <c r="D205" s="8" t="s">
        <v>191</v>
      </c>
      <c r="E205" s="9">
        <f>SUM(E2:E201)</f>
        <v>1688</v>
      </c>
      <c r="F205" s="9">
        <f>SUM(F2:F201)</f>
        <v>1037</v>
      </c>
      <c r="G205" s="9">
        <f>SUM(G2:G201)</f>
        <v>12</v>
      </c>
      <c r="H205" s="9">
        <f>SUM(H2:H201)</f>
        <v>3</v>
      </c>
      <c r="I205" s="9">
        <f>SUM(I2:I201)</f>
        <v>8</v>
      </c>
      <c r="J205" s="9"/>
    </row>
    <row r="206" spans="1:10" ht="23.4" x14ac:dyDescent="0.45">
      <c r="D206" s="8" t="s">
        <v>192</v>
      </c>
      <c r="E206" s="9">
        <f>SUM(G205+H205+I205)</f>
        <v>23</v>
      </c>
      <c r="F206" s="9"/>
      <c r="G206" s="9"/>
      <c r="H206" s="9"/>
      <c r="I206" s="9"/>
      <c r="J206" s="9"/>
    </row>
    <row r="207" spans="1:10" ht="23.4" x14ac:dyDescent="0.45">
      <c r="D207" s="8" t="s">
        <v>193</v>
      </c>
      <c r="E207" s="9">
        <f>SUM((G205+H205+I205)/E205)*100</f>
        <v>1.3625592417061612</v>
      </c>
      <c r="F207" s="9"/>
      <c r="G207" s="9"/>
      <c r="H207" s="9"/>
      <c r="I207" s="9"/>
      <c r="J207" s="9"/>
    </row>
    <row r="208" spans="1:10" ht="23.4" x14ac:dyDescent="0.45">
      <c r="D208" s="9"/>
      <c r="E208" s="9"/>
      <c r="F208" s="9"/>
      <c r="G208" s="9"/>
      <c r="H208" s="9"/>
      <c r="I208" s="9"/>
      <c r="J208" s="9"/>
    </row>
    <row r="209" spans="4:10" ht="23.4" x14ac:dyDescent="0.45">
      <c r="D209" s="9"/>
      <c r="E209" s="9"/>
      <c r="F209" s="9"/>
      <c r="G209" s="9"/>
      <c r="H209" s="9"/>
      <c r="I209" s="9"/>
      <c r="J20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Whisper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Quandale Dingle</dc:creator>
  <cp:keywords/>
  <dc:description/>
  <cp:lastModifiedBy>Fox, Emil (231007)</cp:lastModifiedBy>
  <cp:revision/>
  <dcterms:created xsi:type="dcterms:W3CDTF">2025-02-11T15:45:45Z</dcterms:created>
  <dcterms:modified xsi:type="dcterms:W3CDTF">2025-03-12T14:43:33Z</dcterms:modified>
  <cp:category/>
  <cp:contentStatus/>
</cp:coreProperties>
</file>